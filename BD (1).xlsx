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Analisis U\"/>
    </mc:Choice>
  </mc:AlternateContent>
  <xr:revisionPtr revIDLastSave="0" documentId="13_ncr:1_{6082E7CC-8353-4A87-B0AB-D73191376546}" xr6:coauthVersionLast="47" xr6:coauthVersionMax="47" xr10:uidLastSave="{00000000-0000-0000-0000-000000000000}"/>
  <bookViews>
    <workbookView xWindow="-120" yWindow="-120" windowWidth="20730" windowHeight="11040" activeTab="3" xr2:uid="{A7E1D536-9A51-48E7-9FC1-58A017ADED76}"/>
  </bookViews>
  <sheets>
    <sheet name="Acreditadas" sheetId="2" r:id="rId1"/>
    <sheet name="Total Universidades" sheetId="5" r:id="rId2"/>
    <sheet name="Publicas" sheetId="3" r:id="rId3"/>
    <sheet name="Pereira" sheetId="4" r:id="rId4"/>
  </sheets>
  <definedNames>
    <definedName name="_xlnm._FilterDatabase" localSheetId="0" hidden="1">Acreditadas!$A$1:$S$34</definedName>
    <definedName name="_xlnm._FilterDatabase" localSheetId="2" hidden="1">Publicas!$A$1:$T$19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9" i="3" l="1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</calcChain>
</file>

<file path=xl/sharedStrings.xml><?xml version="1.0" encoding="utf-8"?>
<sst xmlns="http://schemas.openxmlformats.org/spreadsheetml/2006/main" count="309" uniqueCount="104">
  <si>
    <t>promedio</t>
  </si>
  <si>
    <t>Andina</t>
  </si>
  <si>
    <t>Pereira</t>
  </si>
  <si>
    <t>Universidad Católica de Pereira</t>
  </si>
  <si>
    <t>Manizales</t>
  </si>
  <si>
    <t>Universidad Autónoma de Manizales</t>
  </si>
  <si>
    <t>Caribe</t>
  </si>
  <si>
    <t>Riohacha</t>
  </si>
  <si>
    <t>Universidad de La Guajira</t>
  </si>
  <si>
    <t>Ibagué</t>
  </si>
  <si>
    <t>Universidad de Ibagué</t>
  </si>
  <si>
    <t>Bucaramanga</t>
  </si>
  <si>
    <t>Universidad Industrial de Santander</t>
  </si>
  <si>
    <t>Bogotá</t>
  </si>
  <si>
    <t>Universidad de América</t>
  </si>
  <si>
    <t>Pacífica</t>
  </si>
  <si>
    <t>Cali</t>
  </si>
  <si>
    <t>Universidad Santiago de Cali</t>
  </si>
  <si>
    <t>Universidad Nacional de Colombia</t>
  </si>
  <si>
    <t>Universidad de Santander (UDES)</t>
  </si>
  <si>
    <t>Barranquilla</t>
  </si>
  <si>
    <t>Universidad del Atlántico</t>
  </si>
  <si>
    <t>Uniminuto</t>
  </si>
  <si>
    <t>Medellín</t>
  </si>
  <si>
    <t>Universidad de Antioquia</t>
  </si>
  <si>
    <t>Corporación Universitaria de la Costa (CUC)</t>
  </si>
  <si>
    <t>Rionegro (Antioquia)</t>
  </si>
  <si>
    <t>Universidad Católica de Oriente (UCO)</t>
  </si>
  <si>
    <t>Universidad Pontificia Bolivariana</t>
  </si>
  <si>
    <t>Universidad Antonio Nariño</t>
  </si>
  <si>
    <t>Universidad del Norte</t>
  </si>
  <si>
    <t>Universidad del Valle</t>
  </si>
  <si>
    <t>Chía (Cundinamarca)</t>
  </si>
  <si>
    <t>Universidad De La Sabana</t>
  </si>
  <si>
    <t>Universidad Autonoma Del Caribe</t>
  </si>
  <si>
    <t>Universidad Sergio Arboleda</t>
  </si>
  <si>
    <t>Universidad Del Bosque</t>
  </si>
  <si>
    <t>Universidad Icesi</t>
  </si>
  <si>
    <t>Universidad Libre</t>
  </si>
  <si>
    <t>Universidad Santo Tomás</t>
  </si>
  <si>
    <t>Envigado (Medellín)</t>
  </si>
  <si>
    <t>Universidad EIA</t>
  </si>
  <si>
    <t>Escuela Colombiana de Ingeniería Julio Garavito</t>
  </si>
  <si>
    <t>Universidad Distrital Francisco José de Caldas</t>
  </si>
  <si>
    <t>Universidad De La Salle</t>
  </si>
  <si>
    <t>Universidad Javeriana</t>
  </si>
  <si>
    <t>Universidad Central</t>
  </si>
  <si>
    <t>Universidad De Los Andes</t>
  </si>
  <si>
    <t>Región</t>
  </si>
  <si>
    <t>Ciudad</t>
  </si>
  <si>
    <t>Proyecto integrador</t>
  </si>
  <si>
    <t>Proyecto fin de carrera</t>
  </si>
  <si>
    <t>Trabajo de grado</t>
  </si>
  <si>
    <t>Inglés</t>
  </si>
  <si>
    <t>Practica laboral</t>
  </si>
  <si>
    <t>Investigación</t>
  </si>
  <si>
    <t>Electivas profesionales</t>
  </si>
  <si>
    <t>Área Sociohumanistica</t>
  </si>
  <si>
    <t>Área Financiera</t>
  </si>
  <si>
    <t>Área de Producción</t>
  </si>
  <si>
    <t>Área de Investigación de Operaciones y Estadística</t>
  </si>
  <si>
    <t>Área de Básicas</t>
  </si>
  <si>
    <t>Área Básica de Ingeniería</t>
  </si>
  <si>
    <t>Área Administrativa</t>
  </si>
  <si>
    <t>Créditos Totales</t>
  </si>
  <si>
    <t>Semestres</t>
  </si>
  <si>
    <t>Universidad</t>
  </si>
  <si>
    <t>Administrativa</t>
  </si>
  <si>
    <t>Acreditada y publica</t>
  </si>
  <si>
    <t>si</t>
  </si>
  <si>
    <t>Universidad de Pamplona</t>
  </si>
  <si>
    <t>Pamplona (Norte de Santander)</t>
  </si>
  <si>
    <t>no</t>
  </si>
  <si>
    <t>Universidad de Cundinamarca</t>
  </si>
  <si>
    <t>Fusagasugá (Cundinamarca)</t>
  </si>
  <si>
    <t>Universidad Militar Nueva Granada</t>
  </si>
  <si>
    <t>Universidad de la Magdalena</t>
  </si>
  <si>
    <t>Santa Marta</t>
  </si>
  <si>
    <t>Institución Universitaria de Envigado</t>
  </si>
  <si>
    <t>Envigado (Antioquia)</t>
  </si>
  <si>
    <t>Institución Universitaria Pascual Bravo</t>
  </si>
  <si>
    <t>Universidad Francisco de Paula Santander</t>
  </si>
  <si>
    <t>Cúcuta (Norte de Santander)</t>
  </si>
  <si>
    <t>Universidad de Córdoba</t>
  </si>
  <si>
    <t>Montería</t>
  </si>
  <si>
    <t>Universidad Pedagógica y Tecnológica de Colombia (UPTC)</t>
  </si>
  <si>
    <t>Tunja (Boyacá)</t>
  </si>
  <si>
    <t>Unidad Central del Valle del Cauca (UCEVA)</t>
  </si>
  <si>
    <t>Tuluá (Valle del Cauca)</t>
  </si>
  <si>
    <t>Acreditacion de alta calidad</t>
  </si>
  <si>
    <t>Eje Cafetero</t>
  </si>
  <si>
    <t>Sí</t>
  </si>
  <si>
    <t>Universidad CIAF</t>
  </si>
  <si>
    <t>No</t>
  </si>
  <si>
    <t>Uniminuto(sin acreditación)</t>
  </si>
  <si>
    <t>Fundación Universitaria del Área Andina</t>
  </si>
  <si>
    <t>Corporación Universitaria Regminton</t>
  </si>
  <si>
    <t>Universidad Antonio Nariño sede Pereira(sin acreditación)</t>
  </si>
  <si>
    <t>Universidad Tecnológica de Pereira</t>
  </si>
  <si>
    <t>Presenciales</t>
  </si>
  <si>
    <t>Creditos</t>
  </si>
  <si>
    <t>Costo matricula</t>
  </si>
  <si>
    <t>Distancia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</si>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</sst>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\ * #,##0.00_-;\-&quot;$&quot;\ * #,##0.00_-;_-&quot;$&quot;\ * &quot;-&quot;??_-;_-@_-"/>
    <numFmt numFmtId="164" formatCode="0.0%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5CCAF3"/>
        <bgColor rgb="FF000000"/>
      </patternFill>
    </fill>
    <fill>
      <patternFill patternType="solid">
        <fgColor rgb="FF04B2F1"/>
        <bgColor rgb="FF000000"/>
      </patternFill>
    </fill>
    <fill>
      <patternFill patternType="solid">
        <fgColor rgb="FFB5E6A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164" fontId="0" fillId="0" borderId="0" xfId="2" applyNumberFormat="1" applyFont="1"/>
    <xf numFmtId="0" fontId="3" fillId="0" borderId="0" xfId="0" applyFont="1"/>
    <xf numFmtId="164" fontId="3" fillId="0" borderId="0" xfId="2" applyNumberFormat="1" applyFont="1"/>
    <xf numFmtId="165" fontId="2" fillId="0" borderId="1" xfId="0" applyNumberFormat="1" applyFont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0" fontId="1" fillId="0" borderId="1" xfId="2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44" fontId="7" fillId="0" borderId="1" xfId="1" applyFont="1" applyBorder="1"/>
    <xf numFmtId="44" fontId="7" fillId="0" borderId="1" xfId="1" applyFont="1" applyBorder="1" applyAlignment="1"/>
    <xf numFmtId="9" fontId="0" fillId="0" borderId="0" xfId="0" applyNumberFormat="1"/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44" fontId="7" fillId="0" borderId="0" xfId="1" applyFont="1"/>
    <xf numFmtId="44" fontId="7" fillId="0" borderId="1" xfId="1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1" defaultTableStyle="TableStyleMedium2" defaultPivotStyle="PivotStyleLight16">
    <tableStyle name="Invisible" pivot="0" table="0" count="0" xr9:uid="{93D42075-AF9A-48F1-80D2-2189BF632A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3F11-30AB-4D32-85A6-46637B9BF4DC}">
  <dimension ref="A1:S50"/>
  <sheetViews>
    <sheetView zoomScale="112" zoomScaleNormal="100" workbookViewId="0">
      <selection activeCell="K2" sqref="K2:K33"/>
    </sheetView>
  </sheetViews>
  <sheetFormatPr baseColWidth="10" defaultColWidth="9.140625" defaultRowHeight="15" x14ac:dyDescent="0.25"/>
  <cols>
    <col min="1" max="1" width="56.7109375" bestFit="1" customWidth="1"/>
    <col min="2" max="2" width="14" customWidth="1"/>
    <col min="3" max="3" width="20.7109375" customWidth="1"/>
    <col min="4" max="4" width="18.140625" customWidth="1"/>
    <col min="5" max="5" width="32.140625" customWidth="1"/>
    <col min="6" max="6" width="20.7109375" customWidth="1"/>
    <col min="7" max="7" width="63" customWidth="1"/>
    <col min="8" max="8" width="25" customWidth="1"/>
    <col min="9" max="9" width="20.140625" customWidth="1"/>
    <col min="10" max="10" width="28.85546875" customWidth="1"/>
    <col min="11" max="11" width="29.140625" customWidth="1"/>
    <col min="12" max="12" width="17.140625" customWidth="1"/>
    <col min="13" max="13" width="20.28515625" customWidth="1"/>
    <col min="14" max="14" width="9.140625" customWidth="1"/>
    <col min="15" max="15" width="21.7109375" customWidth="1"/>
    <col min="16" max="16" width="28.85546875" customWidth="1"/>
    <col min="17" max="17" width="25.140625" customWidth="1"/>
    <col min="18" max="18" width="44.28515625" style="1" bestFit="1" customWidth="1"/>
    <col min="19" max="19" width="12" style="1" bestFit="1" customWidth="1"/>
  </cols>
  <sheetData>
    <row r="1" spans="1:19" ht="39.75" customHeight="1" x14ac:dyDescent="0.25">
      <c r="A1" s="18" t="s">
        <v>66</v>
      </c>
      <c r="B1" s="17" t="s">
        <v>65</v>
      </c>
      <c r="C1" s="17" t="s">
        <v>64</v>
      </c>
      <c r="D1" s="16" t="s">
        <v>63</v>
      </c>
      <c r="E1" s="16" t="s">
        <v>62</v>
      </c>
      <c r="F1" s="16" t="s">
        <v>61</v>
      </c>
      <c r="G1" s="16" t="s">
        <v>60</v>
      </c>
      <c r="H1" s="16" t="s">
        <v>59</v>
      </c>
      <c r="I1" s="16" t="s">
        <v>58</v>
      </c>
      <c r="J1" s="16" t="s">
        <v>57</v>
      </c>
      <c r="K1" s="16" t="s">
        <v>56</v>
      </c>
      <c r="L1" s="16" t="s">
        <v>55</v>
      </c>
      <c r="M1" s="16" t="s">
        <v>54</v>
      </c>
      <c r="N1" s="16" t="s">
        <v>53</v>
      </c>
      <c r="O1" s="16" t="s">
        <v>52</v>
      </c>
      <c r="P1" s="16" t="s">
        <v>51</v>
      </c>
      <c r="Q1" s="16" t="s">
        <v>50</v>
      </c>
      <c r="R1" s="7" t="s">
        <v>49</v>
      </c>
      <c r="S1" s="7" t="s">
        <v>48</v>
      </c>
    </row>
    <row r="2" spans="1:19" x14ac:dyDescent="0.25">
      <c r="A2" s="7" t="s">
        <v>47</v>
      </c>
      <c r="B2" s="11">
        <v>8</v>
      </c>
      <c r="C2" s="11">
        <v>134</v>
      </c>
      <c r="D2" s="12">
        <v>4.4776119402985072E-2</v>
      </c>
      <c r="E2" s="12">
        <v>6.7164179104477612E-2</v>
      </c>
      <c r="F2" s="12">
        <v>0.13432835820895522</v>
      </c>
      <c r="G2" s="12">
        <v>0.15671641791044777</v>
      </c>
      <c r="H2" s="12">
        <v>6.7164179104477612E-2</v>
      </c>
      <c r="I2" s="12">
        <v>6.7164179104477612E-2</v>
      </c>
      <c r="J2" s="12">
        <v>0.15671641791044777</v>
      </c>
      <c r="K2" s="12">
        <v>0.26119402985074625</v>
      </c>
      <c r="L2" s="12">
        <v>4.4776119402985072E-2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8" t="s">
        <v>13</v>
      </c>
      <c r="S2" s="8" t="s">
        <v>1</v>
      </c>
    </row>
    <row r="3" spans="1:19" x14ac:dyDescent="0.25">
      <c r="A3" s="7" t="s">
        <v>46</v>
      </c>
      <c r="B3" s="11">
        <v>8</v>
      </c>
      <c r="C3" s="11">
        <v>135</v>
      </c>
      <c r="D3" s="13">
        <v>0.15555555555555556</v>
      </c>
      <c r="E3" s="12">
        <v>3.7037037037037035E-2</v>
      </c>
      <c r="F3" s="12">
        <v>0.15555555555555556</v>
      </c>
      <c r="G3" s="12">
        <v>0.11851851851851852</v>
      </c>
      <c r="H3" s="12">
        <v>0.17777777777777778</v>
      </c>
      <c r="I3" s="12">
        <v>2.2222222222222223E-2</v>
      </c>
      <c r="J3" s="12">
        <v>0.15555555555555556</v>
      </c>
      <c r="K3" s="12">
        <v>8.8888888888888892E-2</v>
      </c>
      <c r="L3" s="13">
        <v>0</v>
      </c>
      <c r="M3" s="13">
        <v>3.7037037037037035E-2</v>
      </c>
      <c r="N3" s="13">
        <v>0</v>
      </c>
      <c r="O3" s="12">
        <v>0</v>
      </c>
      <c r="P3" s="12">
        <v>5.185185185185185E-2</v>
      </c>
      <c r="Q3" s="12">
        <v>0</v>
      </c>
      <c r="R3" s="8" t="s">
        <v>13</v>
      </c>
      <c r="S3" s="8" t="s">
        <v>1</v>
      </c>
    </row>
    <row r="4" spans="1:19" x14ac:dyDescent="0.25">
      <c r="A4" s="7" t="s">
        <v>45</v>
      </c>
      <c r="B4" s="11">
        <v>8</v>
      </c>
      <c r="C4" s="11">
        <v>138</v>
      </c>
      <c r="D4" s="12">
        <v>0.13768115942028986</v>
      </c>
      <c r="E4" s="12">
        <v>0.10869565217391304</v>
      </c>
      <c r="F4" s="12">
        <v>0.15217391304347827</v>
      </c>
      <c r="G4" s="12">
        <v>0.13043478260869565</v>
      </c>
      <c r="H4" s="12">
        <v>0.13768115942028986</v>
      </c>
      <c r="I4" s="12">
        <v>8.6956521739130432E-2</v>
      </c>
      <c r="J4" s="12">
        <v>5.7971014492753624E-2</v>
      </c>
      <c r="K4" s="12">
        <v>0.18840579710144928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8" t="s">
        <v>13</v>
      </c>
      <c r="S4" s="8" t="s">
        <v>1</v>
      </c>
    </row>
    <row r="5" spans="1:19" x14ac:dyDescent="0.25">
      <c r="A5" s="7" t="s">
        <v>44</v>
      </c>
      <c r="B5" s="11">
        <v>8</v>
      </c>
      <c r="C5" s="11">
        <v>138</v>
      </c>
      <c r="D5" s="13">
        <v>0.10869565217391304</v>
      </c>
      <c r="E5" s="12">
        <v>5.0724637681159424E-2</v>
      </c>
      <c r="F5" s="12">
        <v>0.14492753623188406</v>
      </c>
      <c r="G5" s="12">
        <v>0.26811594202898553</v>
      </c>
      <c r="H5" s="12">
        <v>0.14492753623188406</v>
      </c>
      <c r="I5" s="12">
        <v>7.2463768115942032E-2</v>
      </c>
      <c r="J5" s="12">
        <v>9.420289855072464E-2</v>
      </c>
      <c r="K5" s="12">
        <v>8.6956521739130432E-2</v>
      </c>
      <c r="L5" s="13">
        <v>0</v>
      </c>
      <c r="M5" s="13">
        <v>0</v>
      </c>
      <c r="N5" s="13">
        <v>0</v>
      </c>
      <c r="O5" s="12">
        <v>2.8985507246376812E-2</v>
      </c>
      <c r="P5" s="12">
        <v>0</v>
      </c>
      <c r="Q5" s="12">
        <v>0</v>
      </c>
      <c r="R5" s="8" t="s">
        <v>13</v>
      </c>
      <c r="S5" s="8" t="s">
        <v>1</v>
      </c>
    </row>
    <row r="6" spans="1:19" x14ac:dyDescent="0.25">
      <c r="A6" s="7" t="s">
        <v>43</v>
      </c>
      <c r="B6" s="14">
        <v>8</v>
      </c>
      <c r="C6" s="14">
        <v>140</v>
      </c>
      <c r="D6" s="13">
        <v>0.05</v>
      </c>
      <c r="E6" s="13">
        <v>0.12142857</v>
      </c>
      <c r="F6" s="13">
        <v>0.17142857</v>
      </c>
      <c r="G6" s="13">
        <v>0.19285714000000001</v>
      </c>
      <c r="H6" s="13">
        <v>0.15</v>
      </c>
      <c r="I6" s="13">
        <v>7.1428569999999997E-2</v>
      </c>
      <c r="J6" s="13">
        <v>4.2857140000000002E-2</v>
      </c>
      <c r="K6" s="13">
        <v>0.17142857</v>
      </c>
      <c r="L6" s="13">
        <v>0</v>
      </c>
      <c r="M6" s="13">
        <v>0</v>
      </c>
      <c r="N6" s="13">
        <v>0</v>
      </c>
      <c r="O6" s="13">
        <v>2.8571429999999998E-2</v>
      </c>
      <c r="P6" s="13">
        <v>0</v>
      </c>
      <c r="Q6" s="13">
        <v>0</v>
      </c>
      <c r="R6" s="15" t="s">
        <v>13</v>
      </c>
      <c r="S6" s="15" t="s">
        <v>1</v>
      </c>
    </row>
    <row r="7" spans="1:19" x14ac:dyDescent="0.25">
      <c r="A7" s="7" t="s">
        <v>42</v>
      </c>
      <c r="B7" s="11">
        <v>8</v>
      </c>
      <c r="C7" s="11">
        <v>142</v>
      </c>
      <c r="D7" s="13">
        <v>7.0422535211267609E-2</v>
      </c>
      <c r="E7" s="12">
        <v>2.1126760563380281E-2</v>
      </c>
      <c r="F7" s="12">
        <v>0.14788732394366197</v>
      </c>
      <c r="G7" s="12">
        <v>0.10563380281690141</v>
      </c>
      <c r="H7" s="12">
        <v>0.21126760563380281</v>
      </c>
      <c r="I7" s="12">
        <v>7.0422535211267609E-2</v>
      </c>
      <c r="J7" s="12">
        <v>7.0422535211267609E-2</v>
      </c>
      <c r="K7" s="12">
        <v>0.21830985915492956</v>
      </c>
      <c r="L7" s="13">
        <v>0</v>
      </c>
      <c r="M7" s="13">
        <v>0</v>
      </c>
      <c r="N7" s="13">
        <v>0</v>
      </c>
      <c r="O7" s="12">
        <v>8.4507042253521125E-2</v>
      </c>
      <c r="P7" s="12">
        <v>0</v>
      </c>
      <c r="Q7" s="12">
        <v>0</v>
      </c>
      <c r="R7" s="8" t="s">
        <v>13</v>
      </c>
      <c r="S7" s="8" t="s">
        <v>1</v>
      </c>
    </row>
    <row r="8" spans="1:19" x14ac:dyDescent="0.25">
      <c r="A8" s="7" t="s">
        <v>41</v>
      </c>
      <c r="B8" s="11">
        <v>8</v>
      </c>
      <c r="C8" s="11">
        <v>143</v>
      </c>
      <c r="D8" s="13">
        <v>8.3916083916083919E-2</v>
      </c>
      <c r="E8" s="12">
        <v>4.195804195804196E-2</v>
      </c>
      <c r="F8" s="12">
        <v>0.16783216783216784</v>
      </c>
      <c r="G8" s="12">
        <v>0.20979020979020979</v>
      </c>
      <c r="H8" s="12">
        <v>0.1888111888111888</v>
      </c>
      <c r="I8" s="12">
        <v>6.2937062937062943E-2</v>
      </c>
      <c r="J8" s="12">
        <v>7.6923076923076927E-2</v>
      </c>
      <c r="K8" s="12">
        <v>6.2937062937062943E-2</v>
      </c>
      <c r="L8" s="13">
        <v>0</v>
      </c>
      <c r="M8" s="13">
        <v>0</v>
      </c>
      <c r="N8" s="13">
        <v>0</v>
      </c>
      <c r="O8" s="12">
        <v>0.1048951048951049</v>
      </c>
      <c r="P8" s="12">
        <v>0</v>
      </c>
      <c r="Q8" s="12">
        <v>0</v>
      </c>
      <c r="R8" s="8" t="s">
        <v>40</v>
      </c>
      <c r="S8" s="8" t="s">
        <v>1</v>
      </c>
    </row>
    <row r="9" spans="1:19" x14ac:dyDescent="0.25">
      <c r="A9" s="7" t="s">
        <v>39</v>
      </c>
      <c r="B9" s="11">
        <v>8</v>
      </c>
      <c r="C9" s="11">
        <v>144</v>
      </c>
      <c r="D9" s="13">
        <v>0.1111111111111111</v>
      </c>
      <c r="E9" s="12">
        <v>6.25E-2</v>
      </c>
      <c r="F9" s="12">
        <v>0.14583333333333334</v>
      </c>
      <c r="G9" s="12">
        <v>9.0277777777777776E-2</v>
      </c>
      <c r="H9" s="12">
        <v>0.1111111111111111</v>
      </c>
      <c r="I9" s="12">
        <v>6.9444444444444448E-2</v>
      </c>
      <c r="J9" s="12">
        <v>0.15277777777777779</v>
      </c>
      <c r="K9" s="12">
        <v>6.25E-2</v>
      </c>
      <c r="L9" s="13">
        <v>0</v>
      </c>
      <c r="M9" s="13">
        <v>7.6388888888888895E-2</v>
      </c>
      <c r="N9" s="13">
        <v>8.3333333333333329E-2</v>
      </c>
      <c r="O9" s="12">
        <v>3.4722222222222224E-2</v>
      </c>
      <c r="P9" s="12">
        <v>0</v>
      </c>
      <c r="Q9" s="12">
        <v>0</v>
      </c>
      <c r="R9" s="8" t="s">
        <v>13</v>
      </c>
      <c r="S9" s="8" t="s">
        <v>1</v>
      </c>
    </row>
    <row r="10" spans="1:19" x14ac:dyDescent="0.25">
      <c r="A10" s="7" t="s">
        <v>38</v>
      </c>
      <c r="B10" s="11">
        <v>8</v>
      </c>
      <c r="C10" s="11">
        <v>144</v>
      </c>
      <c r="D10" s="13">
        <v>7.0422535211267609E-2</v>
      </c>
      <c r="E10" s="12">
        <v>2.1126760563380281E-2</v>
      </c>
      <c r="F10" s="12">
        <v>0.14788732394366197</v>
      </c>
      <c r="G10" s="12">
        <v>0.10563380281690141</v>
      </c>
      <c r="H10" s="12">
        <v>0.21126760563380281</v>
      </c>
      <c r="I10" s="12">
        <v>7.0422535211267609E-2</v>
      </c>
      <c r="J10" s="12">
        <v>7.0422535211267609E-2</v>
      </c>
      <c r="K10" s="12">
        <v>0.21830985915492956</v>
      </c>
      <c r="L10" s="13">
        <v>0</v>
      </c>
      <c r="M10" s="13">
        <v>0</v>
      </c>
      <c r="N10" s="13">
        <v>0</v>
      </c>
      <c r="O10" s="12">
        <v>8.4507042253521125E-2</v>
      </c>
      <c r="P10" s="12">
        <v>0</v>
      </c>
      <c r="Q10" s="12">
        <v>0</v>
      </c>
      <c r="R10" s="8" t="s">
        <v>13</v>
      </c>
      <c r="S10" s="8" t="s">
        <v>1</v>
      </c>
    </row>
    <row r="11" spans="1:19" x14ac:dyDescent="0.25">
      <c r="A11" s="7" t="s">
        <v>37</v>
      </c>
      <c r="B11" s="11">
        <v>9</v>
      </c>
      <c r="C11" s="11">
        <v>141</v>
      </c>
      <c r="D11" s="13">
        <v>2.8368794326241134E-2</v>
      </c>
      <c r="E11" s="12">
        <v>0</v>
      </c>
      <c r="F11" s="12">
        <v>0.1773049645390071</v>
      </c>
      <c r="G11" s="12">
        <v>0.31914893617021278</v>
      </c>
      <c r="H11" s="12">
        <v>6.3829787234042548E-2</v>
      </c>
      <c r="I11" s="12">
        <v>4.2553191489361701E-2</v>
      </c>
      <c r="J11" s="12">
        <v>0.14184397163120568</v>
      </c>
      <c r="K11" s="12">
        <v>0.11347517730496454</v>
      </c>
      <c r="L11" s="13">
        <v>0</v>
      </c>
      <c r="M11" s="13">
        <v>8.5106382978723402E-2</v>
      </c>
      <c r="N11" s="13">
        <v>2.8368794326241134E-2</v>
      </c>
      <c r="O11" s="12">
        <v>0</v>
      </c>
      <c r="P11" s="12">
        <v>0</v>
      </c>
      <c r="Q11" s="12">
        <v>0</v>
      </c>
      <c r="R11" s="8" t="s">
        <v>16</v>
      </c>
      <c r="S11" s="8" t="s">
        <v>15</v>
      </c>
    </row>
    <row r="12" spans="1:19" x14ac:dyDescent="0.25">
      <c r="A12" s="7" t="s">
        <v>36</v>
      </c>
      <c r="B12" s="11">
        <v>9</v>
      </c>
      <c r="C12" s="11">
        <v>144</v>
      </c>
      <c r="D12" s="13">
        <v>0.1388888888888889</v>
      </c>
      <c r="E12" s="12">
        <v>5.5555555555555552E-2</v>
      </c>
      <c r="F12" s="12">
        <v>0.125</v>
      </c>
      <c r="G12" s="12">
        <v>0.125</v>
      </c>
      <c r="H12" s="12">
        <v>0.19444444444444445</v>
      </c>
      <c r="I12" s="12">
        <v>2.7777777777777776E-2</v>
      </c>
      <c r="J12" s="12">
        <v>0.1388888888888889</v>
      </c>
      <c r="K12" s="12">
        <v>5.5555555555555552E-2</v>
      </c>
      <c r="L12" s="13">
        <v>0</v>
      </c>
      <c r="M12" s="13">
        <v>0</v>
      </c>
      <c r="N12" s="13">
        <v>5.5555555555555552E-2</v>
      </c>
      <c r="O12" s="12">
        <v>8.3333333333333329E-2</v>
      </c>
      <c r="P12" s="12">
        <v>0</v>
      </c>
      <c r="Q12" s="12">
        <v>0</v>
      </c>
      <c r="R12" s="8" t="s">
        <v>13</v>
      </c>
      <c r="S12" s="8" t="s">
        <v>1</v>
      </c>
    </row>
    <row r="13" spans="1:19" x14ac:dyDescent="0.25">
      <c r="A13" s="7" t="s">
        <v>35</v>
      </c>
      <c r="B13" s="11">
        <v>9</v>
      </c>
      <c r="C13" s="11">
        <v>151</v>
      </c>
      <c r="D13" s="13">
        <v>0.11258278145695365</v>
      </c>
      <c r="E13" s="12">
        <v>5.2980132450331126E-2</v>
      </c>
      <c r="F13" s="12">
        <v>0.11258278145695365</v>
      </c>
      <c r="G13" s="12">
        <v>0.14569536423841059</v>
      </c>
      <c r="H13" s="12">
        <v>0.19867549668874171</v>
      </c>
      <c r="I13" s="12">
        <v>5.2980132450331126E-2</v>
      </c>
      <c r="J13" s="12">
        <v>0.13245033112582782</v>
      </c>
      <c r="K13" s="12">
        <v>7.9470198675496692E-2</v>
      </c>
      <c r="L13" s="13">
        <v>0</v>
      </c>
      <c r="M13" s="13">
        <v>7.9470198675496692E-2</v>
      </c>
      <c r="N13" s="13">
        <v>0</v>
      </c>
      <c r="O13" s="12">
        <v>3.3112582781456956E-2</v>
      </c>
      <c r="P13" s="12">
        <v>0</v>
      </c>
      <c r="Q13" s="12">
        <v>0</v>
      </c>
      <c r="R13" s="8" t="s">
        <v>13</v>
      </c>
      <c r="S13" s="8" t="s">
        <v>1</v>
      </c>
    </row>
    <row r="14" spans="1:19" x14ac:dyDescent="0.25">
      <c r="A14" s="7" t="s">
        <v>34</v>
      </c>
      <c r="B14" s="11">
        <v>9</v>
      </c>
      <c r="C14" s="11">
        <v>153</v>
      </c>
      <c r="D14" s="13">
        <v>6.535947712418301E-2</v>
      </c>
      <c r="E14" s="12">
        <v>0.12418300653594772</v>
      </c>
      <c r="F14" s="12">
        <v>0.17647058823529413</v>
      </c>
      <c r="G14" s="12">
        <v>0.15686274509803921</v>
      </c>
      <c r="H14" s="12">
        <v>0.12418300653594772</v>
      </c>
      <c r="I14" s="12">
        <v>7.8431372549019607E-2</v>
      </c>
      <c r="J14" s="12">
        <v>8.4967320261437912E-2</v>
      </c>
      <c r="K14" s="12">
        <v>0.15032679738562091</v>
      </c>
      <c r="L14" s="13">
        <v>0</v>
      </c>
      <c r="M14" s="13">
        <v>0</v>
      </c>
      <c r="N14" s="13">
        <v>0</v>
      </c>
      <c r="O14" s="12">
        <v>0</v>
      </c>
      <c r="P14" s="12">
        <v>3.9215686274509803E-2</v>
      </c>
      <c r="Q14" s="12">
        <v>0</v>
      </c>
      <c r="R14" s="8" t="s">
        <v>20</v>
      </c>
      <c r="S14" s="8" t="s">
        <v>6</v>
      </c>
    </row>
    <row r="15" spans="1:19" x14ac:dyDescent="0.25">
      <c r="A15" s="7" t="s">
        <v>33</v>
      </c>
      <c r="B15" s="11">
        <v>9</v>
      </c>
      <c r="C15" s="11">
        <v>166</v>
      </c>
      <c r="D15" s="13">
        <v>9.6385542168674704E-2</v>
      </c>
      <c r="E15" s="12">
        <v>3.614457831325301E-2</v>
      </c>
      <c r="F15" s="12">
        <v>0.1144578313253012</v>
      </c>
      <c r="G15" s="12">
        <v>0.15060240963855423</v>
      </c>
      <c r="H15" s="12">
        <v>0.20481927710843373</v>
      </c>
      <c r="I15" s="12">
        <v>6.0240963855421686E-2</v>
      </c>
      <c r="J15" s="12">
        <v>7.8313253012048195E-2</v>
      </c>
      <c r="K15" s="12">
        <v>7.2289156626506021E-2</v>
      </c>
      <c r="L15" s="13">
        <v>0</v>
      </c>
      <c r="M15" s="13">
        <v>0.10240963855421686</v>
      </c>
      <c r="N15" s="13">
        <v>8.4337349397590355E-2</v>
      </c>
      <c r="O15" s="12">
        <v>0</v>
      </c>
      <c r="P15" s="12">
        <v>0</v>
      </c>
      <c r="Q15" s="12">
        <v>0</v>
      </c>
      <c r="R15" s="8" t="s">
        <v>32</v>
      </c>
      <c r="S15" s="8" t="s">
        <v>1</v>
      </c>
    </row>
    <row r="16" spans="1:19" x14ac:dyDescent="0.25">
      <c r="A16" s="7" t="s">
        <v>31</v>
      </c>
      <c r="B16" s="14">
        <v>10</v>
      </c>
      <c r="C16" s="14">
        <v>153</v>
      </c>
      <c r="D16" s="13">
        <v>0.13071895424836602</v>
      </c>
      <c r="E16" s="13">
        <v>6.535947712418301E-2</v>
      </c>
      <c r="F16" s="13">
        <v>0.15032679738562091</v>
      </c>
      <c r="G16" s="13">
        <v>0.10457516339869281</v>
      </c>
      <c r="H16" s="13">
        <v>0.22875816993464052</v>
      </c>
      <c r="I16" s="13">
        <v>3.9215686274509803E-2</v>
      </c>
      <c r="J16" s="13">
        <v>7.1895424836601302E-2</v>
      </c>
      <c r="K16" s="13">
        <v>0.13725490196078433</v>
      </c>
      <c r="L16" s="13">
        <v>0</v>
      </c>
      <c r="M16" s="13">
        <v>0</v>
      </c>
      <c r="N16" s="13">
        <v>0</v>
      </c>
      <c r="O16" s="13">
        <v>7.1895424836601302E-2</v>
      </c>
      <c r="P16" s="13">
        <v>0</v>
      </c>
      <c r="Q16" s="12">
        <v>0</v>
      </c>
      <c r="R16" s="8" t="s">
        <v>16</v>
      </c>
      <c r="S16" s="8" t="s">
        <v>15</v>
      </c>
    </row>
    <row r="17" spans="1:19" x14ac:dyDescent="0.25">
      <c r="A17" s="7" t="s">
        <v>30</v>
      </c>
      <c r="B17" s="11">
        <v>10</v>
      </c>
      <c r="C17" s="11">
        <v>155</v>
      </c>
      <c r="D17" s="13">
        <v>2.5806451612903226E-2</v>
      </c>
      <c r="E17" s="12">
        <v>5.8064516129032261E-2</v>
      </c>
      <c r="F17" s="12">
        <v>0.2</v>
      </c>
      <c r="G17" s="12">
        <v>0.16129032258064516</v>
      </c>
      <c r="H17" s="12">
        <v>0.20645161290322581</v>
      </c>
      <c r="I17" s="12">
        <v>5.8064516129032261E-2</v>
      </c>
      <c r="J17" s="12">
        <v>0.2129032258064516</v>
      </c>
      <c r="K17" s="12">
        <v>7.7419354838709681E-2</v>
      </c>
      <c r="L17" s="13">
        <v>0</v>
      </c>
      <c r="M17" s="13">
        <v>0</v>
      </c>
      <c r="N17" s="13">
        <v>0</v>
      </c>
      <c r="O17" s="12">
        <v>0</v>
      </c>
      <c r="P17" s="12">
        <v>0</v>
      </c>
      <c r="Q17" s="12">
        <v>0</v>
      </c>
      <c r="R17" s="8" t="s">
        <v>20</v>
      </c>
      <c r="S17" s="8" t="s">
        <v>6</v>
      </c>
    </row>
    <row r="18" spans="1:19" x14ac:dyDescent="0.25">
      <c r="A18" s="7" t="s">
        <v>29</v>
      </c>
      <c r="B18" s="11">
        <v>10</v>
      </c>
      <c r="C18" s="11">
        <v>156</v>
      </c>
      <c r="D18" s="13">
        <v>7.0512820512820512E-2</v>
      </c>
      <c r="E18" s="12">
        <v>8.3333333333333329E-2</v>
      </c>
      <c r="F18" s="12">
        <v>0.19871794871794871</v>
      </c>
      <c r="G18" s="12">
        <v>0.16666666666666666</v>
      </c>
      <c r="H18" s="12">
        <v>0.17948717948717949</v>
      </c>
      <c r="I18" s="12">
        <v>9.6153846153846159E-2</v>
      </c>
      <c r="J18" s="12">
        <v>7.6923076923076927E-2</v>
      </c>
      <c r="K18" s="12">
        <v>5.128205128205128E-2</v>
      </c>
      <c r="L18" s="13">
        <v>0</v>
      </c>
      <c r="M18" s="13">
        <v>0</v>
      </c>
      <c r="N18" s="13">
        <v>5.7692307692307696E-2</v>
      </c>
      <c r="O18" s="12">
        <v>1.9230769230769232E-2</v>
      </c>
      <c r="P18" s="12">
        <v>0</v>
      </c>
      <c r="Q18" s="12">
        <v>0</v>
      </c>
      <c r="R18" s="8" t="s">
        <v>13</v>
      </c>
      <c r="S18" s="8" t="s">
        <v>1</v>
      </c>
    </row>
    <row r="19" spans="1:19" x14ac:dyDescent="0.25">
      <c r="A19" s="7" t="s">
        <v>28</v>
      </c>
      <c r="B19" s="11">
        <v>10</v>
      </c>
      <c r="C19" s="11">
        <v>160</v>
      </c>
      <c r="D19" s="13">
        <v>6.8750000000000006E-2</v>
      </c>
      <c r="E19" s="12">
        <v>9.375E-2</v>
      </c>
      <c r="F19" s="12">
        <v>0.16250000000000001</v>
      </c>
      <c r="G19" s="12">
        <v>0.13125000000000001</v>
      </c>
      <c r="H19" s="12">
        <v>0.11874999999999999</v>
      </c>
      <c r="I19" s="12">
        <v>8.1250000000000003E-2</v>
      </c>
      <c r="J19" s="12">
        <v>0.13750000000000001</v>
      </c>
      <c r="K19" s="12">
        <v>0.13125000000000001</v>
      </c>
      <c r="L19" s="13">
        <v>0</v>
      </c>
      <c r="M19" s="13">
        <v>7.4999999999999997E-2</v>
      </c>
      <c r="N19" s="13">
        <v>0</v>
      </c>
      <c r="O19" s="12">
        <v>0</v>
      </c>
      <c r="P19" s="12">
        <v>0</v>
      </c>
      <c r="Q19" s="12">
        <v>0</v>
      </c>
      <c r="R19" s="8" t="s">
        <v>23</v>
      </c>
      <c r="S19" s="8" t="s">
        <v>1</v>
      </c>
    </row>
    <row r="20" spans="1:19" x14ac:dyDescent="0.25">
      <c r="A20" s="7" t="s">
        <v>27</v>
      </c>
      <c r="B20" s="11">
        <v>10</v>
      </c>
      <c r="C20" s="11">
        <v>160</v>
      </c>
      <c r="D20" s="13">
        <v>8.7499999999999994E-2</v>
      </c>
      <c r="E20" s="12">
        <v>8.1250000000000003E-2</v>
      </c>
      <c r="F20" s="12">
        <v>0.25</v>
      </c>
      <c r="G20" s="12">
        <v>0.19375000000000001</v>
      </c>
      <c r="H20" s="12">
        <v>0.16875000000000001</v>
      </c>
      <c r="I20" s="12">
        <v>6.8750000000000006E-2</v>
      </c>
      <c r="J20" s="12">
        <v>7.4999999999999997E-2</v>
      </c>
      <c r="K20" s="12">
        <v>0.05</v>
      </c>
      <c r="L20" s="13">
        <v>0</v>
      </c>
      <c r="M20" s="13">
        <v>1.2500000000000001E-2</v>
      </c>
      <c r="N20" s="13">
        <v>0</v>
      </c>
      <c r="O20" s="12">
        <v>1.2500000000000001E-2</v>
      </c>
      <c r="P20" s="12">
        <v>0</v>
      </c>
      <c r="Q20" s="12">
        <v>0</v>
      </c>
      <c r="R20" s="8" t="s">
        <v>26</v>
      </c>
      <c r="S20" s="8" t="s">
        <v>1</v>
      </c>
    </row>
    <row r="21" spans="1:19" x14ac:dyDescent="0.25">
      <c r="A21" s="7" t="s">
        <v>25</v>
      </c>
      <c r="B21" s="11">
        <v>10</v>
      </c>
      <c r="C21" s="11">
        <v>160</v>
      </c>
      <c r="D21" s="13">
        <v>7.4999999999999997E-2</v>
      </c>
      <c r="E21" s="12">
        <v>1.8749999999999999E-2</v>
      </c>
      <c r="F21" s="12">
        <v>0.16875000000000001</v>
      </c>
      <c r="G21" s="12">
        <v>0.13125000000000001</v>
      </c>
      <c r="H21" s="12">
        <v>0.13125000000000001</v>
      </c>
      <c r="I21" s="12">
        <v>3.7499999999999999E-2</v>
      </c>
      <c r="J21" s="12">
        <v>2.5000000000000001E-2</v>
      </c>
      <c r="K21" s="12">
        <v>0.20624999999999999</v>
      </c>
      <c r="L21" s="13">
        <v>0</v>
      </c>
      <c r="M21" s="13">
        <v>7.4999999999999997E-2</v>
      </c>
      <c r="N21" s="13">
        <v>5.6250000000000001E-2</v>
      </c>
      <c r="O21" s="12">
        <v>7.4999999999999997E-2</v>
      </c>
      <c r="P21" s="12">
        <v>0</v>
      </c>
      <c r="Q21" s="12">
        <v>0</v>
      </c>
      <c r="R21" s="8" t="s">
        <v>20</v>
      </c>
      <c r="S21" s="8" t="s">
        <v>6</v>
      </c>
    </row>
    <row r="22" spans="1:19" x14ac:dyDescent="0.25">
      <c r="A22" s="7" t="s">
        <v>24</v>
      </c>
      <c r="B22" s="14">
        <v>10</v>
      </c>
      <c r="C22" s="14">
        <v>160</v>
      </c>
      <c r="D22" s="12">
        <v>0.13750000000000001</v>
      </c>
      <c r="E22" s="12">
        <v>1.8749999999999999E-2</v>
      </c>
      <c r="F22" s="12">
        <v>0.15625</v>
      </c>
      <c r="G22" s="12">
        <v>0.15</v>
      </c>
      <c r="H22" s="12">
        <v>0.11874999999999999</v>
      </c>
      <c r="I22" s="12">
        <v>9.375E-2</v>
      </c>
      <c r="J22" s="12">
        <v>0.1</v>
      </c>
      <c r="K22" s="12">
        <v>0.1125</v>
      </c>
      <c r="L22" s="12">
        <v>0</v>
      </c>
      <c r="M22" s="12">
        <v>7.4999999999999997E-2</v>
      </c>
      <c r="N22" s="12">
        <v>3.7499999999999999E-2</v>
      </c>
      <c r="O22" s="12">
        <v>0</v>
      </c>
      <c r="P22" s="12">
        <v>0</v>
      </c>
      <c r="Q22" s="12">
        <v>0</v>
      </c>
      <c r="R22" s="8" t="s">
        <v>23</v>
      </c>
      <c r="S22" s="8" t="s">
        <v>1</v>
      </c>
    </row>
    <row r="23" spans="1:19" x14ac:dyDescent="0.25">
      <c r="A23" s="7" t="s">
        <v>22</v>
      </c>
      <c r="B23" s="11">
        <v>10</v>
      </c>
      <c r="C23" s="11">
        <v>162</v>
      </c>
      <c r="D23" s="13">
        <v>0.10493827160493827</v>
      </c>
      <c r="E23" s="12">
        <v>7.407407407407407E-2</v>
      </c>
      <c r="F23" s="12">
        <v>0.17901234567901234</v>
      </c>
      <c r="G23" s="12">
        <v>5.5555555555555552E-2</v>
      </c>
      <c r="H23" s="12">
        <v>0.15432098765432098</v>
      </c>
      <c r="I23" s="12">
        <v>3.7037037037037035E-2</v>
      </c>
      <c r="J23" s="12">
        <v>0.19135802469135801</v>
      </c>
      <c r="K23" s="12">
        <v>9.2592592592592587E-2</v>
      </c>
      <c r="L23" s="13">
        <v>0</v>
      </c>
      <c r="M23" s="13">
        <v>3.7037037037037035E-2</v>
      </c>
      <c r="N23" s="13">
        <v>5.5555555555555552E-2</v>
      </c>
      <c r="O23" s="12">
        <v>1.8518518518518517E-2</v>
      </c>
      <c r="P23" s="12">
        <v>0</v>
      </c>
      <c r="Q23" s="12">
        <v>0</v>
      </c>
      <c r="R23" s="8" t="s">
        <v>13</v>
      </c>
      <c r="S23" s="8" t="s">
        <v>1</v>
      </c>
    </row>
    <row r="24" spans="1:19" x14ac:dyDescent="0.25">
      <c r="A24" s="7" t="s">
        <v>21</v>
      </c>
      <c r="B24" s="14">
        <v>10</v>
      </c>
      <c r="C24" s="14">
        <v>162</v>
      </c>
      <c r="D24" s="13">
        <v>0.19135802469135801</v>
      </c>
      <c r="E24" s="13">
        <v>0.18518518518518517</v>
      </c>
      <c r="F24" s="13">
        <v>0.16049382716049382</v>
      </c>
      <c r="G24" s="13">
        <v>0.12345679012345678</v>
      </c>
      <c r="H24" s="13">
        <v>9.2592592592592587E-2</v>
      </c>
      <c r="I24" s="13">
        <v>7.407407407407407E-2</v>
      </c>
      <c r="J24" s="13">
        <v>7.407407407407407E-2</v>
      </c>
      <c r="K24" s="13">
        <v>6.1728395061728392E-2</v>
      </c>
      <c r="L24" s="13">
        <v>3.7037037037037035E-2</v>
      </c>
      <c r="M24" s="13">
        <v>0</v>
      </c>
      <c r="N24" s="13">
        <v>0</v>
      </c>
      <c r="O24" s="13">
        <v>0</v>
      </c>
      <c r="P24" s="12">
        <v>0</v>
      </c>
      <c r="Q24" s="12">
        <v>0</v>
      </c>
      <c r="R24" s="8" t="s">
        <v>20</v>
      </c>
      <c r="S24" s="8" t="s">
        <v>6</v>
      </c>
    </row>
    <row r="25" spans="1:19" x14ac:dyDescent="0.25">
      <c r="A25" s="7" t="s">
        <v>19</v>
      </c>
      <c r="B25" s="11">
        <v>10</v>
      </c>
      <c r="C25" s="11">
        <v>165</v>
      </c>
      <c r="D25" s="13">
        <v>0.10303030303030303</v>
      </c>
      <c r="E25" s="12">
        <v>6.0606060606060608E-2</v>
      </c>
      <c r="F25" s="12">
        <v>0.18787878787878787</v>
      </c>
      <c r="G25" s="12">
        <v>7.2727272727272724E-2</v>
      </c>
      <c r="H25" s="12">
        <v>0.16969696969696971</v>
      </c>
      <c r="I25" s="12">
        <v>9.696969696969697E-2</v>
      </c>
      <c r="J25" s="12">
        <v>9.696969696969697E-2</v>
      </c>
      <c r="K25" s="12">
        <v>0.10303030303030303</v>
      </c>
      <c r="L25" s="13">
        <v>0</v>
      </c>
      <c r="M25" s="13">
        <v>6.0606060606060608E-2</v>
      </c>
      <c r="N25" s="13">
        <v>0</v>
      </c>
      <c r="O25" s="12">
        <v>4.8484848484848485E-2</v>
      </c>
      <c r="P25" s="12">
        <v>0</v>
      </c>
      <c r="Q25" s="12">
        <v>0</v>
      </c>
      <c r="R25" s="8" t="s">
        <v>11</v>
      </c>
      <c r="S25" s="8" t="s">
        <v>1</v>
      </c>
    </row>
    <row r="26" spans="1:19" x14ac:dyDescent="0.25">
      <c r="A26" s="7" t="s">
        <v>18</v>
      </c>
      <c r="B26" s="14">
        <v>10</v>
      </c>
      <c r="C26" s="14">
        <v>168</v>
      </c>
      <c r="D26" s="12">
        <v>8.9285714285714288E-2</v>
      </c>
      <c r="E26" s="12">
        <v>7.7380952380952384E-2</v>
      </c>
      <c r="F26" s="12">
        <v>0.16666666666666666</v>
      </c>
      <c r="G26" s="12">
        <v>0.17261904761904762</v>
      </c>
      <c r="H26" s="12">
        <v>0.125</v>
      </c>
      <c r="I26" s="12">
        <v>7.7380952380952384E-2</v>
      </c>
      <c r="J26" s="12">
        <v>8.9285714285714288E-2</v>
      </c>
      <c r="K26" s="12">
        <v>0.16666666666666666</v>
      </c>
      <c r="L26" s="12">
        <v>0</v>
      </c>
      <c r="M26" s="12">
        <v>0</v>
      </c>
      <c r="N26" s="12">
        <v>0</v>
      </c>
      <c r="O26" s="12">
        <v>3.5714285714285712E-2</v>
      </c>
      <c r="P26" s="12">
        <v>0</v>
      </c>
      <c r="Q26" s="12">
        <v>0</v>
      </c>
      <c r="R26" s="8" t="s">
        <v>13</v>
      </c>
      <c r="S26" s="8" t="s">
        <v>1</v>
      </c>
    </row>
    <row r="27" spans="1:19" x14ac:dyDescent="0.25">
      <c r="A27" s="7" t="s">
        <v>17</v>
      </c>
      <c r="B27" s="11">
        <v>10</v>
      </c>
      <c r="C27" s="11">
        <v>170</v>
      </c>
      <c r="D27" s="13">
        <v>8.2352941176470587E-2</v>
      </c>
      <c r="E27" s="12">
        <v>2.9411764705882353E-2</v>
      </c>
      <c r="F27" s="12">
        <v>0.12941176470588237</v>
      </c>
      <c r="G27" s="12">
        <v>0.10588235294117647</v>
      </c>
      <c r="H27" s="12">
        <v>0.17647058823529413</v>
      </c>
      <c r="I27" s="12">
        <v>0.12352941176470589</v>
      </c>
      <c r="J27" s="12">
        <v>0.14117647058823529</v>
      </c>
      <c r="K27" s="12">
        <v>0.10588235294117647</v>
      </c>
      <c r="L27" s="13">
        <v>0</v>
      </c>
      <c r="M27" s="13">
        <v>5.8823529411764705E-3</v>
      </c>
      <c r="N27" s="13">
        <v>4.7058823529411764E-2</v>
      </c>
      <c r="O27" s="12">
        <v>0</v>
      </c>
      <c r="P27" s="12">
        <v>0</v>
      </c>
      <c r="Q27" s="12">
        <v>5.2941176470588235E-2</v>
      </c>
      <c r="R27" s="8" t="s">
        <v>16</v>
      </c>
      <c r="S27" s="8" t="s">
        <v>15</v>
      </c>
    </row>
    <row r="28" spans="1:19" x14ac:dyDescent="0.25">
      <c r="A28" s="7" t="s">
        <v>14</v>
      </c>
      <c r="B28" s="11">
        <v>10</v>
      </c>
      <c r="C28" s="11">
        <v>171</v>
      </c>
      <c r="D28" s="13">
        <v>9.9415204678362568E-2</v>
      </c>
      <c r="E28" s="12">
        <v>7.6023391812865493E-2</v>
      </c>
      <c r="F28" s="12">
        <v>0.14619883040935672</v>
      </c>
      <c r="G28" s="12">
        <v>0.13450292397660818</v>
      </c>
      <c r="H28" s="12">
        <v>0.19298245614035087</v>
      </c>
      <c r="I28" s="12">
        <v>0.1111111111111111</v>
      </c>
      <c r="J28" s="12">
        <v>9.3567251461988299E-2</v>
      </c>
      <c r="K28" s="12">
        <v>8.771929824561403E-2</v>
      </c>
      <c r="L28" s="13">
        <v>0</v>
      </c>
      <c r="M28" s="13">
        <v>0</v>
      </c>
      <c r="N28" s="13">
        <v>0</v>
      </c>
      <c r="O28" s="12">
        <v>5.8479532163742687E-2</v>
      </c>
      <c r="P28" s="12">
        <v>0</v>
      </c>
      <c r="Q28" s="12">
        <v>0</v>
      </c>
      <c r="R28" s="8" t="s">
        <v>13</v>
      </c>
      <c r="S28" s="8" t="s">
        <v>1</v>
      </c>
    </row>
    <row r="29" spans="1:19" x14ac:dyDescent="0.25">
      <c r="A29" s="7" t="s">
        <v>12</v>
      </c>
      <c r="B29" s="14">
        <v>10</v>
      </c>
      <c r="C29" s="14">
        <v>172</v>
      </c>
      <c r="D29" s="12">
        <v>0.10465116279069768</v>
      </c>
      <c r="E29" s="12">
        <v>0.13953488372093023</v>
      </c>
      <c r="F29" s="12">
        <v>0.18604651162790697</v>
      </c>
      <c r="G29" s="12">
        <v>0.12209302325581395</v>
      </c>
      <c r="H29" s="12">
        <v>0.12209302325581395</v>
      </c>
      <c r="I29" s="12">
        <v>0.10465116279069768</v>
      </c>
      <c r="J29" s="12">
        <v>4.6511627906976744E-2</v>
      </c>
      <c r="K29" s="12">
        <v>6.9767441860465115E-2</v>
      </c>
      <c r="L29" s="12">
        <v>0</v>
      </c>
      <c r="M29" s="12">
        <v>0</v>
      </c>
      <c r="N29" s="12">
        <v>4.6511627906976744E-2</v>
      </c>
      <c r="O29" s="12">
        <v>5.8139534883720929E-2</v>
      </c>
      <c r="P29" s="12">
        <v>0</v>
      </c>
      <c r="Q29" s="12">
        <v>0</v>
      </c>
      <c r="R29" s="8" t="s">
        <v>11</v>
      </c>
      <c r="S29" s="8" t="s">
        <v>1</v>
      </c>
    </row>
    <row r="30" spans="1:19" x14ac:dyDescent="0.25">
      <c r="A30" s="7" t="s">
        <v>10</v>
      </c>
      <c r="B30" s="11">
        <v>10</v>
      </c>
      <c r="C30" s="11">
        <v>174</v>
      </c>
      <c r="D30" s="13">
        <v>8.6206896551724144E-2</v>
      </c>
      <c r="E30" s="12">
        <v>3.4482758620689655E-2</v>
      </c>
      <c r="F30" s="12">
        <v>0.18390804597701149</v>
      </c>
      <c r="G30" s="12">
        <v>0.1206896551724138</v>
      </c>
      <c r="H30" s="12">
        <v>0.10344827586206896</v>
      </c>
      <c r="I30" s="12">
        <v>7.4712643678160925E-2</v>
      </c>
      <c r="J30" s="12">
        <v>0.23563218390804597</v>
      </c>
      <c r="K30" s="12">
        <v>8.6206896551724144E-2</v>
      </c>
      <c r="L30" s="13">
        <v>0</v>
      </c>
      <c r="M30" s="13">
        <v>4.0229885057471264E-2</v>
      </c>
      <c r="N30" s="13">
        <v>0</v>
      </c>
      <c r="O30" s="12">
        <v>3.4482758620689655E-2</v>
      </c>
      <c r="P30" s="12">
        <v>0</v>
      </c>
      <c r="Q30" s="12">
        <v>0</v>
      </c>
      <c r="R30" s="8" t="s">
        <v>9</v>
      </c>
      <c r="S30" s="8" t="s">
        <v>1</v>
      </c>
    </row>
    <row r="31" spans="1:19" x14ac:dyDescent="0.25">
      <c r="A31" s="7" t="s">
        <v>8</v>
      </c>
      <c r="B31" s="14">
        <v>10</v>
      </c>
      <c r="C31" s="14">
        <v>174</v>
      </c>
      <c r="D31" s="12">
        <v>8.0459770114942528E-2</v>
      </c>
      <c r="E31" s="12">
        <v>0.12643678160919541</v>
      </c>
      <c r="F31" s="12">
        <v>0.13793103448275862</v>
      </c>
      <c r="G31" s="12">
        <v>8.6206896551724144E-2</v>
      </c>
      <c r="H31" s="12">
        <v>0.19540229885057472</v>
      </c>
      <c r="I31" s="12">
        <v>8.6206896551724144E-2</v>
      </c>
      <c r="J31" s="12">
        <v>0.16666666666666666</v>
      </c>
      <c r="K31" s="12">
        <v>6.8965517241379309E-2</v>
      </c>
      <c r="L31" s="12">
        <v>5.1724137931034482E-2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8" t="s">
        <v>7</v>
      </c>
      <c r="S31" s="8" t="s">
        <v>6</v>
      </c>
    </row>
    <row r="32" spans="1:19" x14ac:dyDescent="0.25">
      <c r="A32" s="7" t="s">
        <v>5</v>
      </c>
      <c r="B32" s="11">
        <v>10</v>
      </c>
      <c r="C32" s="11">
        <v>175</v>
      </c>
      <c r="D32" s="13">
        <v>5.7142857142857141E-2</v>
      </c>
      <c r="E32" s="12">
        <v>0.11428571428571428</v>
      </c>
      <c r="F32" s="12">
        <v>0.17714285714285713</v>
      </c>
      <c r="G32" s="12">
        <v>0.10285714285714286</v>
      </c>
      <c r="H32" s="12">
        <v>0.20571428571428571</v>
      </c>
      <c r="I32" s="12">
        <v>6.8571428571428575E-2</v>
      </c>
      <c r="J32" s="12">
        <v>0.12</v>
      </c>
      <c r="K32" s="12">
        <v>8.5714285714285715E-2</v>
      </c>
      <c r="L32" s="13">
        <v>3.4285714285714287E-2</v>
      </c>
      <c r="M32" s="13">
        <v>0</v>
      </c>
      <c r="N32" s="13">
        <v>3.4285714285714287E-2</v>
      </c>
      <c r="O32" s="12">
        <v>0</v>
      </c>
      <c r="P32" s="12">
        <v>0</v>
      </c>
      <c r="Q32" s="12">
        <v>0</v>
      </c>
      <c r="R32" s="8" t="s">
        <v>4</v>
      </c>
      <c r="S32" s="8" t="s">
        <v>1</v>
      </c>
    </row>
    <row r="33" spans="1:19" x14ac:dyDescent="0.25">
      <c r="A33" s="7" t="s">
        <v>3</v>
      </c>
      <c r="B33" s="11">
        <v>9</v>
      </c>
      <c r="C33" s="11">
        <v>160</v>
      </c>
      <c r="D33" s="10">
        <v>3.7499999999999999E-2</v>
      </c>
      <c r="E33" s="10">
        <v>0.1</v>
      </c>
      <c r="F33" s="10">
        <v>0.21249999999999999</v>
      </c>
      <c r="G33" s="10">
        <v>0.1125</v>
      </c>
      <c r="H33" s="10">
        <v>0.1875</v>
      </c>
      <c r="I33" s="10">
        <v>0.1125</v>
      </c>
      <c r="J33" s="10">
        <v>0.14000000000000001</v>
      </c>
      <c r="K33" s="10">
        <v>0.1</v>
      </c>
      <c r="L33" s="10">
        <v>1.2500000000000001E-2</v>
      </c>
      <c r="M33" s="9">
        <v>0</v>
      </c>
      <c r="N33" s="9">
        <v>0</v>
      </c>
      <c r="O33" s="10">
        <v>8.1299999999999997E-2</v>
      </c>
      <c r="P33" s="9">
        <v>0</v>
      </c>
      <c r="Q33" s="9">
        <v>0</v>
      </c>
      <c r="R33" s="8" t="s">
        <v>2</v>
      </c>
      <c r="S33" s="8" t="s">
        <v>1</v>
      </c>
    </row>
    <row r="34" spans="1:19" x14ac:dyDescent="0.25">
      <c r="A34" s="7" t="s">
        <v>0</v>
      </c>
      <c r="B34" s="5">
        <f t="shared" ref="B34:Q34" si="0">+AVERAGE(B2:B33)</f>
        <v>9.25</v>
      </c>
      <c r="C34" s="5">
        <f t="shared" si="0"/>
        <v>155.3125</v>
      </c>
      <c r="D34" s="6">
        <f t="shared" si="0"/>
        <v>9.0821737762777299E-2</v>
      </c>
      <c r="E34" s="6">
        <f t="shared" si="0"/>
        <v>6.9915743922642978E-2</v>
      </c>
      <c r="F34" s="6">
        <f t="shared" si="0"/>
        <v>0.16335642704636122</v>
      </c>
      <c r="G34" s="6">
        <f t="shared" si="0"/>
        <v>0.14134877071374599</v>
      </c>
      <c r="H34" s="6">
        <f t="shared" si="0"/>
        <v>0.15823058175197696</v>
      </c>
      <c r="I34" s="6">
        <f t="shared" si="0"/>
        <v>7.1777304393584498E-2</v>
      </c>
      <c r="J34" s="6">
        <f t="shared" si="0"/>
        <v>0.11089925483347395</v>
      </c>
      <c r="K34" s="6">
        <f t="shared" si="0"/>
        <v>0.11325867288633627</v>
      </c>
      <c r="L34" s="6">
        <f t="shared" si="0"/>
        <v>5.6350940205240896E-3</v>
      </c>
      <c r="M34" s="6">
        <f t="shared" si="0"/>
        <v>2.3802108805503378E-2</v>
      </c>
      <c r="N34" s="6">
        <f t="shared" si="0"/>
        <v>1.832653317445895E-2</v>
      </c>
      <c r="O34" s="6">
        <f t="shared" si="0"/>
        <v>3.1136873044959778E-2</v>
      </c>
      <c r="P34" s="6">
        <f t="shared" si="0"/>
        <v>2.8458605664488015E-3</v>
      </c>
      <c r="Q34" s="6">
        <f t="shared" si="0"/>
        <v>1.6544117647058823E-3</v>
      </c>
      <c r="R34" s="5"/>
    </row>
    <row r="36" spans="1:19" x14ac:dyDescent="0.25"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9" x14ac:dyDescent="0.25">
      <c r="B37" s="2"/>
      <c r="C37" s="4"/>
      <c r="D37" s="3"/>
      <c r="E37" s="3"/>
      <c r="F37" s="3"/>
      <c r="G37" s="3"/>
      <c r="H37" s="3"/>
      <c r="I37" s="3"/>
      <c r="J37" s="3"/>
      <c r="K37" s="3"/>
      <c r="L37" s="3"/>
    </row>
    <row r="38" spans="1:19" x14ac:dyDescent="0.25">
      <c r="B38" s="2"/>
      <c r="C38" s="2"/>
    </row>
    <row r="39" spans="1:19" x14ac:dyDescent="0.25">
      <c r="B39" s="2"/>
      <c r="C39" s="2"/>
    </row>
    <row r="40" spans="1:19" x14ac:dyDescent="0.25">
      <c r="B40" s="2"/>
      <c r="C40" s="2"/>
    </row>
    <row r="41" spans="1:19" x14ac:dyDescent="0.25">
      <c r="B41" s="2"/>
      <c r="C41" s="2"/>
    </row>
    <row r="42" spans="1:19" x14ac:dyDescent="0.25">
      <c r="B42" s="2"/>
      <c r="C42" s="2"/>
    </row>
    <row r="43" spans="1:19" x14ac:dyDescent="0.25">
      <c r="B43" s="2"/>
      <c r="C43" s="2"/>
    </row>
    <row r="44" spans="1:19" x14ac:dyDescent="0.25">
      <c r="B44" s="2"/>
      <c r="C44" s="2"/>
    </row>
    <row r="45" spans="1:19" x14ac:dyDescent="0.25">
      <c r="B45" s="2"/>
      <c r="C45" s="4"/>
      <c r="D45" s="3"/>
    </row>
    <row r="46" spans="1:19" x14ac:dyDescent="0.25">
      <c r="B46" s="2"/>
      <c r="C46" s="4"/>
      <c r="D46" s="3"/>
    </row>
    <row r="47" spans="1:19" x14ac:dyDescent="0.25">
      <c r="B47" s="2"/>
      <c r="C47" s="4"/>
      <c r="D47" s="3"/>
    </row>
    <row r="48" spans="1:19" x14ac:dyDescent="0.25">
      <c r="B48" s="2"/>
      <c r="C48" s="2"/>
    </row>
    <row r="49" spans="2:3" x14ac:dyDescent="0.25">
      <c r="B49" s="2"/>
      <c r="C49" s="2"/>
    </row>
    <row r="50" spans="2:3" x14ac:dyDescent="0.25">
      <c r="B50" s="2"/>
      <c r="C50" s="2"/>
    </row>
  </sheetData>
  <autoFilter ref="A1:S34" xr:uid="{408F8C1F-BFDD-4C0C-B2AC-AACEA0263AF3}"/>
  <conditionalFormatting sqref="B2:B33">
    <cfRule type="colorScale" priority="2">
      <colorScale>
        <cfvo type="num" val="$B$2"/>
        <cfvo type="percentile" val="50"/>
        <cfvo type="num" val="#REF!"/>
        <color theme="7" tint="0.79998168889431442"/>
        <color theme="7" tint="0.39997558519241921"/>
        <color rgb="FF00B0F0"/>
      </colorScale>
    </cfRule>
  </conditionalFormatting>
  <conditionalFormatting sqref="B2:Q34">
    <cfRule type="colorScale" priority="1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C2:C5 C7:C15 C17:C21 C23 C25 C27:C28 C30 C32:C33">
    <cfRule type="colorScale" priority="3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06F7-7658-41C1-818B-FC0D9161BDE8}">
  <dimension ref="A1:C43"/>
  <sheetViews>
    <sheetView topLeftCell="A28" workbookViewId="0">
      <selection activeCell="C34" sqref="C34:C43"/>
    </sheetView>
  </sheetViews>
  <sheetFormatPr baseColWidth="10" defaultRowHeight="15" x14ac:dyDescent="0.25"/>
  <cols>
    <col min="1" max="1" width="54.5703125" bestFit="1" customWidth="1"/>
    <col min="3" max="3" width="21.5703125" bestFit="1" customWidth="1"/>
  </cols>
  <sheetData>
    <row r="1" spans="1:3" x14ac:dyDescent="0.25">
      <c r="A1" s="14" t="s">
        <v>66</v>
      </c>
      <c r="B1" s="14" t="s">
        <v>103</v>
      </c>
      <c r="C1" s="41" t="s">
        <v>56</v>
      </c>
    </row>
    <row r="2" spans="1:3" x14ac:dyDescent="0.25">
      <c r="A2" s="7" t="s">
        <v>47</v>
      </c>
      <c r="B2" s="11">
        <v>134</v>
      </c>
      <c r="C2" s="12">
        <v>0.26119402985074625</v>
      </c>
    </row>
    <row r="3" spans="1:3" x14ac:dyDescent="0.25">
      <c r="A3" s="7" t="s">
        <v>46</v>
      </c>
      <c r="B3" s="11">
        <v>135</v>
      </c>
      <c r="C3" s="12">
        <v>8.8888888888888892E-2</v>
      </c>
    </row>
    <row r="4" spans="1:3" x14ac:dyDescent="0.25">
      <c r="A4" s="7" t="s">
        <v>45</v>
      </c>
      <c r="B4" s="11">
        <v>138</v>
      </c>
      <c r="C4" s="12">
        <v>0.18840579710144928</v>
      </c>
    </row>
    <row r="5" spans="1:3" x14ac:dyDescent="0.25">
      <c r="A5" s="7" t="s">
        <v>44</v>
      </c>
      <c r="B5" s="11">
        <v>138</v>
      </c>
      <c r="C5" s="12">
        <v>8.6956521739130432E-2</v>
      </c>
    </row>
    <row r="6" spans="1:3" x14ac:dyDescent="0.25">
      <c r="A6" s="7" t="s">
        <v>43</v>
      </c>
      <c r="B6" s="14">
        <v>140</v>
      </c>
      <c r="C6" s="13">
        <v>0.17142857</v>
      </c>
    </row>
    <row r="7" spans="1:3" x14ac:dyDescent="0.25">
      <c r="A7" s="7" t="s">
        <v>42</v>
      </c>
      <c r="B7" s="11">
        <v>142</v>
      </c>
      <c r="C7" s="12">
        <v>0.21830985915492956</v>
      </c>
    </row>
    <row r="8" spans="1:3" x14ac:dyDescent="0.25">
      <c r="A8" s="7" t="s">
        <v>41</v>
      </c>
      <c r="B8" s="11">
        <v>143</v>
      </c>
      <c r="C8" s="12">
        <v>6.2937062937062943E-2</v>
      </c>
    </row>
    <row r="9" spans="1:3" x14ac:dyDescent="0.25">
      <c r="A9" s="7" t="s">
        <v>39</v>
      </c>
      <c r="B9" s="11">
        <v>144</v>
      </c>
      <c r="C9" s="12">
        <v>6.25E-2</v>
      </c>
    </row>
    <row r="10" spans="1:3" x14ac:dyDescent="0.25">
      <c r="A10" s="7" t="s">
        <v>38</v>
      </c>
      <c r="B10" s="11">
        <v>144</v>
      </c>
      <c r="C10" s="12">
        <v>0.21830985915492956</v>
      </c>
    </row>
    <row r="11" spans="1:3" x14ac:dyDescent="0.25">
      <c r="A11" s="7" t="s">
        <v>37</v>
      </c>
      <c r="B11" s="11">
        <v>141</v>
      </c>
      <c r="C11" s="12">
        <v>0.11347517730496454</v>
      </c>
    </row>
    <row r="12" spans="1:3" x14ac:dyDescent="0.25">
      <c r="A12" s="7" t="s">
        <v>36</v>
      </c>
      <c r="B12" s="11">
        <v>144</v>
      </c>
      <c r="C12" s="12">
        <v>5.5555555555555552E-2</v>
      </c>
    </row>
    <row r="13" spans="1:3" x14ac:dyDescent="0.25">
      <c r="A13" s="7" t="s">
        <v>35</v>
      </c>
      <c r="B13" s="11">
        <v>151</v>
      </c>
      <c r="C13" s="12">
        <v>7.9470198675496692E-2</v>
      </c>
    </row>
    <row r="14" spans="1:3" x14ac:dyDescent="0.25">
      <c r="A14" s="7" t="s">
        <v>34</v>
      </c>
      <c r="B14" s="11">
        <v>153</v>
      </c>
      <c r="C14" s="12">
        <v>0.15032679738562091</v>
      </c>
    </row>
    <row r="15" spans="1:3" x14ac:dyDescent="0.25">
      <c r="A15" s="7" t="s">
        <v>33</v>
      </c>
      <c r="B15" s="11">
        <v>166</v>
      </c>
      <c r="C15" s="12">
        <v>7.2289156626506021E-2</v>
      </c>
    </row>
    <row r="16" spans="1:3" x14ac:dyDescent="0.25">
      <c r="A16" s="7" t="s">
        <v>31</v>
      </c>
      <c r="B16" s="14">
        <v>153</v>
      </c>
      <c r="C16" s="13">
        <v>0.13725490196078433</v>
      </c>
    </row>
    <row r="17" spans="1:3" x14ac:dyDescent="0.25">
      <c r="A17" s="7" t="s">
        <v>30</v>
      </c>
      <c r="B17" s="11">
        <v>155</v>
      </c>
      <c r="C17" s="12">
        <v>7.7419354838709681E-2</v>
      </c>
    </row>
    <row r="18" spans="1:3" x14ac:dyDescent="0.25">
      <c r="A18" s="7" t="s">
        <v>29</v>
      </c>
      <c r="B18" s="11">
        <v>156</v>
      </c>
      <c r="C18" s="12">
        <v>5.128205128205128E-2</v>
      </c>
    </row>
    <row r="19" spans="1:3" x14ac:dyDescent="0.25">
      <c r="A19" s="7" t="s">
        <v>28</v>
      </c>
      <c r="B19" s="11">
        <v>160</v>
      </c>
      <c r="C19" s="12">
        <v>0.13125000000000001</v>
      </c>
    </row>
    <row r="20" spans="1:3" x14ac:dyDescent="0.25">
      <c r="A20" s="7" t="s">
        <v>27</v>
      </c>
      <c r="B20" s="11">
        <v>160</v>
      </c>
      <c r="C20" s="12">
        <v>0.05</v>
      </c>
    </row>
    <row r="21" spans="1:3" x14ac:dyDescent="0.25">
      <c r="A21" s="7" t="s">
        <v>25</v>
      </c>
      <c r="B21" s="11">
        <v>160</v>
      </c>
      <c r="C21" s="12">
        <v>0.20624999999999999</v>
      </c>
    </row>
    <row r="22" spans="1:3" x14ac:dyDescent="0.25">
      <c r="A22" s="7" t="s">
        <v>24</v>
      </c>
      <c r="B22" s="14">
        <v>160</v>
      </c>
      <c r="C22" s="12">
        <v>0.1125</v>
      </c>
    </row>
    <row r="23" spans="1:3" x14ac:dyDescent="0.25">
      <c r="A23" s="7" t="s">
        <v>22</v>
      </c>
      <c r="B23" s="11">
        <v>162</v>
      </c>
      <c r="C23" s="12">
        <v>9.2592592592592587E-2</v>
      </c>
    </row>
    <row r="24" spans="1:3" x14ac:dyDescent="0.25">
      <c r="A24" s="7" t="s">
        <v>21</v>
      </c>
      <c r="B24" s="14">
        <v>162</v>
      </c>
      <c r="C24" s="13">
        <v>6.1728395061728392E-2</v>
      </c>
    </row>
    <row r="25" spans="1:3" x14ac:dyDescent="0.25">
      <c r="A25" s="7" t="s">
        <v>19</v>
      </c>
      <c r="B25" s="11">
        <v>165</v>
      </c>
      <c r="C25" s="12">
        <v>0.10303030303030303</v>
      </c>
    </row>
    <row r="26" spans="1:3" x14ac:dyDescent="0.25">
      <c r="A26" s="7" t="s">
        <v>18</v>
      </c>
      <c r="B26" s="14">
        <v>168</v>
      </c>
      <c r="C26" s="12">
        <v>0.16666666666666666</v>
      </c>
    </row>
    <row r="27" spans="1:3" x14ac:dyDescent="0.25">
      <c r="A27" s="7" t="s">
        <v>17</v>
      </c>
      <c r="B27" s="11">
        <v>170</v>
      </c>
      <c r="C27" s="12">
        <v>0.10588235294117647</v>
      </c>
    </row>
    <row r="28" spans="1:3" x14ac:dyDescent="0.25">
      <c r="A28" s="7" t="s">
        <v>14</v>
      </c>
      <c r="B28" s="11">
        <v>171</v>
      </c>
      <c r="C28" s="12">
        <v>8.771929824561403E-2</v>
      </c>
    </row>
    <row r="29" spans="1:3" x14ac:dyDescent="0.25">
      <c r="A29" s="7" t="s">
        <v>12</v>
      </c>
      <c r="B29" s="14">
        <v>172</v>
      </c>
      <c r="C29" s="12">
        <v>6.9767441860465115E-2</v>
      </c>
    </row>
    <row r="30" spans="1:3" x14ac:dyDescent="0.25">
      <c r="A30" s="7" t="s">
        <v>10</v>
      </c>
      <c r="B30" s="11">
        <v>174</v>
      </c>
      <c r="C30" s="12">
        <v>8.6206896551724144E-2</v>
      </c>
    </row>
    <row r="31" spans="1:3" x14ac:dyDescent="0.25">
      <c r="A31" s="7" t="s">
        <v>8</v>
      </c>
      <c r="B31" s="14">
        <v>174</v>
      </c>
      <c r="C31" s="12">
        <v>6.8965517241379309E-2</v>
      </c>
    </row>
    <row r="32" spans="1:3" x14ac:dyDescent="0.25">
      <c r="A32" s="7" t="s">
        <v>5</v>
      </c>
      <c r="B32" s="11">
        <v>175</v>
      </c>
      <c r="C32" s="12">
        <v>8.5714285714285715E-2</v>
      </c>
    </row>
    <row r="33" spans="1:3" x14ac:dyDescent="0.25">
      <c r="A33" s="7" t="s">
        <v>3</v>
      </c>
      <c r="B33" s="11">
        <v>160</v>
      </c>
      <c r="C33" s="10">
        <v>0.1</v>
      </c>
    </row>
    <row r="34" spans="1:3" x14ac:dyDescent="0.25">
      <c r="A34" s="25" t="s">
        <v>70</v>
      </c>
      <c r="B34" s="26">
        <v>145</v>
      </c>
      <c r="C34" s="12">
        <v>4.1379310344827586E-2</v>
      </c>
    </row>
    <row r="35" spans="1:3" x14ac:dyDescent="0.25">
      <c r="A35" s="7" t="s">
        <v>73</v>
      </c>
      <c r="B35" s="14">
        <v>150</v>
      </c>
      <c r="C35" s="12">
        <v>0.12666666666666668</v>
      </c>
    </row>
    <row r="36" spans="1:3" x14ac:dyDescent="0.25">
      <c r="A36" s="7" t="s">
        <v>75</v>
      </c>
      <c r="B36" s="14">
        <v>156</v>
      </c>
      <c r="C36" s="12">
        <v>9.6153846153846159E-2</v>
      </c>
    </row>
    <row r="37" spans="1:3" x14ac:dyDescent="0.25">
      <c r="A37" s="7" t="s">
        <v>76</v>
      </c>
      <c r="B37" s="14">
        <v>160</v>
      </c>
      <c r="C37" s="12">
        <v>3.7499999999999999E-2</v>
      </c>
    </row>
    <row r="38" spans="1:3" x14ac:dyDescent="0.25">
      <c r="A38" s="7" t="s">
        <v>78</v>
      </c>
      <c r="B38" s="14">
        <v>160</v>
      </c>
      <c r="C38" s="12">
        <v>6.25E-2</v>
      </c>
    </row>
    <row r="39" spans="1:3" x14ac:dyDescent="0.25">
      <c r="A39" s="7" t="s">
        <v>80</v>
      </c>
      <c r="B39" s="14">
        <v>160</v>
      </c>
      <c r="C39" s="12">
        <v>5.6250000000000001E-2</v>
      </c>
    </row>
    <row r="40" spans="1:3" x14ac:dyDescent="0.25">
      <c r="A40" s="7" t="s">
        <v>81</v>
      </c>
      <c r="B40" s="14">
        <v>162</v>
      </c>
      <c r="C40" s="12">
        <v>6.7901234567901231E-2</v>
      </c>
    </row>
    <row r="41" spans="1:3" x14ac:dyDescent="0.25">
      <c r="A41" s="7" t="s">
        <v>83</v>
      </c>
      <c r="B41" s="14">
        <v>172</v>
      </c>
      <c r="C41" s="12">
        <v>6.9767441860465115E-2</v>
      </c>
    </row>
    <row r="42" spans="1:3" x14ac:dyDescent="0.25">
      <c r="A42" s="7" t="s">
        <v>85</v>
      </c>
      <c r="B42" s="14">
        <v>175</v>
      </c>
      <c r="C42" s="12">
        <v>8.5714285714285715E-2</v>
      </c>
    </row>
    <row r="43" spans="1:3" x14ac:dyDescent="0.25">
      <c r="A43" s="7" t="s">
        <v>87</v>
      </c>
      <c r="B43" s="14">
        <v>182</v>
      </c>
      <c r="C43" s="12">
        <v>3.2967032967032968E-2</v>
      </c>
    </row>
  </sheetData>
  <conditionalFormatting sqref="B2:B5 B7:B15 B17:B21 B23 B25 B27:B28 B30 B32:B33">
    <cfRule type="colorScale" priority="7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2:B33">
    <cfRule type="colorScale" priority="19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34:B43">
    <cfRule type="colorScale" priority="22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C2:C33">
    <cfRule type="colorScale" priority="1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04D8-234C-47BC-A3F1-78A274C63000}">
  <dimension ref="A1:T34"/>
  <sheetViews>
    <sheetView topLeftCell="J1" zoomScale="59" zoomScaleNormal="53" workbookViewId="0">
      <selection activeCell="F58" sqref="F58"/>
    </sheetView>
  </sheetViews>
  <sheetFormatPr baseColWidth="10" defaultRowHeight="15" x14ac:dyDescent="0.25"/>
  <cols>
    <col min="1" max="1" width="79.140625" bestFit="1" customWidth="1"/>
    <col min="2" max="2" width="10.7109375" customWidth="1"/>
    <col min="3" max="3" width="15.85546875" customWidth="1"/>
    <col min="4" max="4" width="14.140625" bestFit="1" customWidth="1"/>
    <col min="5" max="5" width="23.5703125" customWidth="1"/>
    <col min="6" max="6" width="14.85546875" customWidth="1"/>
    <col min="7" max="7" width="35.42578125" bestFit="1" customWidth="1"/>
    <col min="8" max="8" width="18.42578125" customWidth="1"/>
    <col min="9" max="9" width="15.140625" bestFit="1" customWidth="1"/>
    <col min="10" max="10" width="24.7109375" bestFit="1" customWidth="1"/>
    <col min="11" max="11" width="22.28515625" style="1" customWidth="1"/>
    <col min="12" max="12" width="13" style="1" customWidth="1"/>
    <col min="13" max="13" width="14.7109375" style="1" customWidth="1"/>
    <col min="14" max="14" width="9.28515625" style="1" bestFit="1" customWidth="1"/>
    <col min="15" max="15" width="15.7109375" style="1" customWidth="1"/>
    <col min="16" max="16" width="21.5703125" customWidth="1"/>
    <col min="17" max="17" width="18.85546875" customWidth="1"/>
    <col min="18" max="18" width="34.5703125" bestFit="1" customWidth="1"/>
    <col min="19" max="19" width="14.42578125" bestFit="1" customWidth="1"/>
    <col min="20" max="20" width="16" customWidth="1"/>
  </cols>
  <sheetData>
    <row r="1" spans="1:20" s="23" customFormat="1" ht="34.5" customHeight="1" x14ac:dyDescent="0.25">
      <c r="A1" s="19" t="s">
        <v>66</v>
      </c>
      <c r="B1" s="20" t="s">
        <v>65</v>
      </c>
      <c r="C1" s="20" t="s">
        <v>64</v>
      </c>
      <c r="D1" s="21" t="s">
        <v>67</v>
      </c>
      <c r="E1" s="21" t="s">
        <v>62</v>
      </c>
      <c r="F1" s="21" t="s">
        <v>61</v>
      </c>
      <c r="G1" s="21" t="s">
        <v>60</v>
      </c>
      <c r="H1" s="21" t="s">
        <v>59</v>
      </c>
      <c r="I1" s="21" t="s">
        <v>58</v>
      </c>
      <c r="J1" s="21" t="s">
        <v>57</v>
      </c>
      <c r="K1" s="21" t="s">
        <v>56</v>
      </c>
      <c r="L1" s="21" t="s">
        <v>55</v>
      </c>
      <c r="M1" s="21" t="s">
        <v>54</v>
      </c>
      <c r="N1" s="21" t="s">
        <v>53</v>
      </c>
      <c r="O1" s="21" t="s">
        <v>52</v>
      </c>
      <c r="P1" s="20" t="s">
        <v>51</v>
      </c>
      <c r="Q1" s="20" t="s">
        <v>50</v>
      </c>
      <c r="R1" s="7" t="s">
        <v>49</v>
      </c>
      <c r="S1" s="7" t="s">
        <v>48</v>
      </c>
      <c r="T1" s="22" t="s">
        <v>68</v>
      </c>
    </row>
    <row r="2" spans="1:20" x14ac:dyDescent="0.25">
      <c r="A2" s="7" t="s">
        <v>43</v>
      </c>
      <c r="B2" s="14">
        <v>8</v>
      </c>
      <c r="C2" s="14">
        <v>140</v>
      </c>
      <c r="D2" s="3">
        <v>0.05</v>
      </c>
      <c r="E2" s="3">
        <v>0.12142857</v>
      </c>
      <c r="F2" s="3">
        <v>0.17142857</v>
      </c>
      <c r="G2" s="3">
        <v>0.19285714000000001</v>
      </c>
      <c r="H2" s="3">
        <v>0.15</v>
      </c>
      <c r="I2" s="3">
        <v>7.1428569999999997E-2</v>
      </c>
      <c r="J2" s="3">
        <v>4.2857140000000002E-2</v>
      </c>
      <c r="K2" s="3">
        <v>0.17142857</v>
      </c>
      <c r="L2" s="3">
        <v>0</v>
      </c>
      <c r="M2" s="3">
        <v>0</v>
      </c>
      <c r="N2" s="3">
        <v>0</v>
      </c>
      <c r="O2" s="3">
        <v>2.8571429999999998E-2</v>
      </c>
      <c r="P2" s="3">
        <v>0</v>
      </c>
      <c r="Q2" s="3">
        <v>0</v>
      </c>
      <c r="R2" s="8" t="s">
        <v>13</v>
      </c>
      <c r="S2" s="8" t="s">
        <v>1</v>
      </c>
      <c r="T2" s="24" t="s">
        <v>69</v>
      </c>
    </row>
    <row r="3" spans="1:20" x14ac:dyDescent="0.25">
      <c r="A3" s="25" t="s">
        <v>70</v>
      </c>
      <c r="B3" s="26">
        <v>9</v>
      </c>
      <c r="C3" s="26">
        <v>145</v>
      </c>
      <c r="D3" s="2">
        <v>7.586206896551724E-2</v>
      </c>
      <c r="E3" s="4">
        <v>8.9655172413793102E-2</v>
      </c>
      <c r="F3" s="2">
        <v>0.13793103448275862</v>
      </c>
      <c r="G3" s="4">
        <v>0.15172413793103448</v>
      </c>
      <c r="H3" s="2">
        <v>0.13793103448275862</v>
      </c>
      <c r="I3" s="4">
        <v>3.4482758620689655E-2</v>
      </c>
      <c r="J3" s="4">
        <v>0.1793103448275862</v>
      </c>
      <c r="K3" s="2">
        <v>4.1379310344827586E-2</v>
      </c>
      <c r="L3" s="4">
        <v>0</v>
      </c>
      <c r="M3" s="2">
        <v>0</v>
      </c>
      <c r="N3" s="4">
        <v>4.1379310344827586E-2</v>
      </c>
      <c r="O3" s="4">
        <v>0.1103448275862069</v>
      </c>
      <c r="P3" s="4">
        <v>0</v>
      </c>
      <c r="Q3" s="2">
        <v>0</v>
      </c>
      <c r="R3" s="8" t="s">
        <v>71</v>
      </c>
      <c r="S3" s="8" t="s">
        <v>1</v>
      </c>
      <c r="T3" s="27" t="s">
        <v>72</v>
      </c>
    </row>
    <row r="4" spans="1:20" x14ac:dyDescent="0.25">
      <c r="A4" s="7" t="s">
        <v>73</v>
      </c>
      <c r="B4" s="14">
        <v>9</v>
      </c>
      <c r="C4" s="14">
        <v>150</v>
      </c>
      <c r="D4" s="2">
        <v>3.3333333333333333E-2</v>
      </c>
      <c r="E4" s="4">
        <v>5.3333333333333337E-2</v>
      </c>
      <c r="F4" s="2">
        <v>0.22</v>
      </c>
      <c r="G4" s="4">
        <v>0.14000000000000001</v>
      </c>
      <c r="H4" s="2">
        <v>0.22</v>
      </c>
      <c r="I4" s="4">
        <v>5.3333333333333337E-2</v>
      </c>
      <c r="J4" s="4">
        <v>4.6666666666666669E-2</v>
      </c>
      <c r="K4" s="2">
        <v>0.12666666666666668</v>
      </c>
      <c r="L4" s="4">
        <v>5.3333333333333337E-2</v>
      </c>
      <c r="M4" s="2">
        <v>0</v>
      </c>
      <c r="N4" s="4">
        <v>5.3333333333333337E-2</v>
      </c>
      <c r="O4" s="4">
        <v>0</v>
      </c>
      <c r="P4" s="4">
        <v>0</v>
      </c>
      <c r="Q4" s="2">
        <v>0</v>
      </c>
      <c r="R4" s="8" t="s">
        <v>74</v>
      </c>
      <c r="S4" s="8" t="s">
        <v>1</v>
      </c>
      <c r="T4" s="27" t="s">
        <v>72</v>
      </c>
    </row>
    <row r="5" spans="1:20" x14ac:dyDescent="0.25">
      <c r="A5" s="7" t="s">
        <v>75</v>
      </c>
      <c r="B5" s="14">
        <v>9</v>
      </c>
      <c r="C5" s="14">
        <v>156</v>
      </c>
      <c r="D5" s="2">
        <v>7.0512820512820512E-2</v>
      </c>
      <c r="E5" s="4">
        <v>8.3333333333333329E-2</v>
      </c>
      <c r="F5" s="2">
        <v>0.23076923076923078</v>
      </c>
      <c r="G5" s="4">
        <v>0.15384615384615385</v>
      </c>
      <c r="H5" s="2">
        <v>0.16025641025641027</v>
      </c>
      <c r="I5" s="4">
        <v>8.3333333333333329E-2</v>
      </c>
      <c r="J5" s="4">
        <v>7.0512820512820512E-2</v>
      </c>
      <c r="K5" s="2">
        <v>9.6153846153846159E-2</v>
      </c>
      <c r="L5" s="4">
        <v>0</v>
      </c>
      <c r="M5" s="2">
        <v>0</v>
      </c>
      <c r="N5" s="4">
        <v>0</v>
      </c>
      <c r="O5" s="4">
        <v>5.128205128205128E-2</v>
      </c>
      <c r="P5" s="4">
        <v>0</v>
      </c>
      <c r="Q5" s="2">
        <v>0</v>
      </c>
      <c r="R5" s="8" t="s">
        <v>13</v>
      </c>
      <c r="S5" s="8" t="s">
        <v>1</v>
      </c>
      <c r="T5" s="27" t="s">
        <v>72</v>
      </c>
    </row>
    <row r="6" spans="1:20" x14ac:dyDescent="0.25">
      <c r="A6" s="7" t="s">
        <v>76</v>
      </c>
      <c r="B6" s="14">
        <v>9</v>
      </c>
      <c r="C6" s="14">
        <v>160</v>
      </c>
      <c r="D6" s="2">
        <v>6.8750000000000006E-2</v>
      </c>
      <c r="E6" s="4">
        <v>0.13125000000000001</v>
      </c>
      <c r="F6" s="2">
        <v>0.17499999999999999</v>
      </c>
      <c r="G6" s="4">
        <v>0.16250000000000001</v>
      </c>
      <c r="H6" s="2">
        <v>0.2</v>
      </c>
      <c r="I6" s="4">
        <v>7.4999999999999997E-2</v>
      </c>
      <c r="J6" s="4">
        <v>8.7499999999999994E-2</v>
      </c>
      <c r="K6" s="2">
        <v>3.7499999999999999E-2</v>
      </c>
      <c r="L6" s="4">
        <v>0</v>
      </c>
      <c r="M6" s="2">
        <v>0</v>
      </c>
      <c r="N6" s="4">
        <v>6.25E-2</v>
      </c>
      <c r="O6" s="4">
        <v>0</v>
      </c>
      <c r="P6" s="4">
        <v>0</v>
      </c>
      <c r="Q6" s="2">
        <v>0</v>
      </c>
      <c r="R6" s="15" t="s">
        <v>77</v>
      </c>
      <c r="S6" s="15" t="s">
        <v>6</v>
      </c>
      <c r="T6" s="27" t="s">
        <v>72</v>
      </c>
    </row>
    <row r="7" spans="1:20" x14ac:dyDescent="0.25">
      <c r="A7" s="7" t="s">
        <v>31</v>
      </c>
      <c r="B7" s="14">
        <v>10</v>
      </c>
      <c r="C7" s="14">
        <v>153</v>
      </c>
      <c r="D7" s="4">
        <v>0.13071895424836602</v>
      </c>
      <c r="E7" s="4">
        <v>6.535947712418301E-2</v>
      </c>
      <c r="F7" s="4">
        <v>0.15032679738562091</v>
      </c>
      <c r="G7" s="4">
        <v>0.10457516339869281</v>
      </c>
      <c r="H7" s="4">
        <v>0.22875816993464052</v>
      </c>
      <c r="I7" s="4">
        <v>3.9215686274509803E-2</v>
      </c>
      <c r="J7" s="4">
        <v>7.1895424836601302E-2</v>
      </c>
      <c r="K7" s="4">
        <v>0.13725490196078433</v>
      </c>
      <c r="L7" s="4">
        <v>0</v>
      </c>
      <c r="M7" s="4">
        <v>0</v>
      </c>
      <c r="N7" s="4">
        <v>0</v>
      </c>
      <c r="O7" s="4">
        <v>7.1895424836601302E-2</v>
      </c>
      <c r="P7" s="4">
        <v>0</v>
      </c>
      <c r="Q7" s="2">
        <v>0</v>
      </c>
      <c r="R7" s="8" t="s">
        <v>16</v>
      </c>
      <c r="S7" s="8" t="s">
        <v>15</v>
      </c>
      <c r="T7" s="24" t="s">
        <v>69</v>
      </c>
    </row>
    <row r="8" spans="1:20" x14ac:dyDescent="0.25">
      <c r="A8" s="7" t="s">
        <v>78</v>
      </c>
      <c r="B8" s="14">
        <v>10</v>
      </c>
      <c r="C8" s="14">
        <v>160</v>
      </c>
      <c r="D8" s="2">
        <v>0.13750000000000001</v>
      </c>
      <c r="E8" s="4">
        <v>7.4999999999999997E-2</v>
      </c>
      <c r="F8" s="2">
        <v>0.16875000000000001</v>
      </c>
      <c r="G8" s="4">
        <v>0.14374999999999999</v>
      </c>
      <c r="H8" s="2">
        <v>0.15625</v>
      </c>
      <c r="I8" s="4">
        <v>6.25E-2</v>
      </c>
      <c r="J8" s="4">
        <v>0.13125000000000001</v>
      </c>
      <c r="K8" s="2">
        <v>6.25E-2</v>
      </c>
      <c r="L8" s="4">
        <v>0</v>
      </c>
      <c r="M8" s="2">
        <v>0</v>
      </c>
      <c r="N8" s="4">
        <v>0</v>
      </c>
      <c r="O8" s="4">
        <v>6.25E-2</v>
      </c>
      <c r="P8" s="4">
        <v>0</v>
      </c>
      <c r="Q8" s="2">
        <v>0</v>
      </c>
      <c r="R8" s="8" t="s">
        <v>79</v>
      </c>
      <c r="S8" s="8" t="s">
        <v>1</v>
      </c>
      <c r="T8" s="27" t="s">
        <v>72</v>
      </c>
    </row>
    <row r="9" spans="1:20" x14ac:dyDescent="0.25">
      <c r="A9" s="7" t="s">
        <v>80</v>
      </c>
      <c r="B9" s="14">
        <v>10</v>
      </c>
      <c r="C9" s="14">
        <v>160</v>
      </c>
      <c r="D9" s="2">
        <v>1.8749999999999999E-2</v>
      </c>
      <c r="E9" s="4">
        <v>3.7499999999999999E-2</v>
      </c>
      <c r="F9" s="2">
        <v>0.18124999999999999</v>
      </c>
      <c r="G9" s="4">
        <v>0.16250000000000001</v>
      </c>
      <c r="H9" s="2">
        <v>0.22500000000000001</v>
      </c>
      <c r="I9" s="4">
        <v>8.1250000000000003E-2</v>
      </c>
      <c r="J9" s="4">
        <v>0.1125</v>
      </c>
      <c r="K9" s="2">
        <v>5.6250000000000001E-2</v>
      </c>
      <c r="L9" s="4">
        <v>0</v>
      </c>
      <c r="M9" s="2">
        <v>0</v>
      </c>
      <c r="N9" s="4">
        <v>0.1</v>
      </c>
      <c r="O9" s="4">
        <v>2.5000000000000001E-2</v>
      </c>
      <c r="P9" s="4">
        <v>0</v>
      </c>
      <c r="Q9" s="2">
        <v>0</v>
      </c>
      <c r="R9" s="8" t="s">
        <v>23</v>
      </c>
      <c r="S9" s="8" t="s">
        <v>1</v>
      </c>
      <c r="T9" s="27" t="s">
        <v>72</v>
      </c>
    </row>
    <row r="10" spans="1:20" x14ac:dyDescent="0.25">
      <c r="A10" s="7" t="s">
        <v>24</v>
      </c>
      <c r="B10" s="14">
        <v>10</v>
      </c>
      <c r="C10" s="14">
        <v>160</v>
      </c>
      <c r="D10" s="2">
        <v>0.13750000000000001</v>
      </c>
      <c r="E10" s="2">
        <v>1.8749999999999999E-2</v>
      </c>
      <c r="F10" s="2">
        <v>0.15625</v>
      </c>
      <c r="G10" s="2">
        <v>0.15</v>
      </c>
      <c r="H10" s="2">
        <v>0.11874999999999999</v>
      </c>
      <c r="I10" s="2">
        <v>9.375E-2</v>
      </c>
      <c r="J10" s="2">
        <v>0.1</v>
      </c>
      <c r="K10" s="2">
        <v>0.1125</v>
      </c>
      <c r="L10" s="2">
        <v>0</v>
      </c>
      <c r="M10" s="2">
        <v>7.4999999999999997E-2</v>
      </c>
      <c r="N10" s="2">
        <v>3.7499999999999999E-2</v>
      </c>
      <c r="O10" s="2">
        <v>0</v>
      </c>
      <c r="P10" s="2">
        <v>0</v>
      </c>
      <c r="Q10" s="2">
        <v>0</v>
      </c>
      <c r="R10" s="8" t="s">
        <v>23</v>
      </c>
      <c r="S10" s="8" t="s">
        <v>1</v>
      </c>
      <c r="T10" s="24" t="s">
        <v>69</v>
      </c>
    </row>
    <row r="11" spans="1:20" x14ac:dyDescent="0.25">
      <c r="A11" s="7" t="s">
        <v>81</v>
      </c>
      <c r="B11" s="14">
        <v>10</v>
      </c>
      <c r="C11" s="14">
        <v>162</v>
      </c>
      <c r="D11" s="2">
        <v>8.0246913580246909E-2</v>
      </c>
      <c r="E11" s="4">
        <v>0.1419753086419753</v>
      </c>
      <c r="F11" s="2">
        <v>0.18518518518518517</v>
      </c>
      <c r="G11" s="4">
        <v>0.1111111111111111</v>
      </c>
      <c r="H11" s="2">
        <v>0.17901234567901234</v>
      </c>
      <c r="I11" s="4">
        <v>8.0246913580246909E-2</v>
      </c>
      <c r="J11" s="4">
        <v>0.10493827160493827</v>
      </c>
      <c r="K11" s="2">
        <v>6.7901234567901231E-2</v>
      </c>
      <c r="L11" s="4">
        <v>0</v>
      </c>
      <c r="M11" s="2">
        <v>4.9382716049382713E-2</v>
      </c>
      <c r="N11" s="4">
        <v>0</v>
      </c>
      <c r="O11" s="4">
        <v>0</v>
      </c>
      <c r="P11" s="4">
        <v>0</v>
      </c>
      <c r="Q11" s="2">
        <v>0</v>
      </c>
      <c r="R11" s="8" t="s">
        <v>82</v>
      </c>
      <c r="S11" s="8" t="s">
        <v>1</v>
      </c>
      <c r="T11" s="27" t="s">
        <v>72</v>
      </c>
    </row>
    <row r="12" spans="1:20" x14ac:dyDescent="0.25">
      <c r="A12" s="7" t="s">
        <v>21</v>
      </c>
      <c r="B12" s="14">
        <v>10</v>
      </c>
      <c r="C12" s="14">
        <v>162</v>
      </c>
      <c r="D12" s="4">
        <v>0.19135802469135801</v>
      </c>
      <c r="E12" s="4">
        <v>0.18518518518518517</v>
      </c>
      <c r="F12" s="4">
        <v>0.16049382716049382</v>
      </c>
      <c r="G12" s="4">
        <v>0.12345679012345678</v>
      </c>
      <c r="H12" s="4">
        <v>9.2592592592592587E-2</v>
      </c>
      <c r="I12" s="4">
        <v>7.407407407407407E-2</v>
      </c>
      <c r="J12" s="4">
        <v>7.407407407407407E-2</v>
      </c>
      <c r="K12" s="4">
        <v>6.1728395061728392E-2</v>
      </c>
      <c r="L12" s="4">
        <v>3.7037037037037035E-2</v>
      </c>
      <c r="M12" s="4">
        <v>0</v>
      </c>
      <c r="N12" s="4">
        <v>0</v>
      </c>
      <c r="O12" s="4">
        <v>0</v>
      </c>
      <c r="P12" s="2">
        <v>0</v>
      </c>
      <c r="Q12" s="2">
        <v>0</v>
      </c>
      <c r="R12" s="8" t="s">
        <v>20</v>
      </c>
      <c r="S12" s="8" t="s">
        <v>6</v>
      </c>
      <c r="T12" s="24" t="s">
        <v>69</v>
      </c>
    </row>
    <row r="13" spans="1:20" x14ac:dyDescent="0.25">
      <c r="A13" s="7" t="s">
        <v>18</v>
      </c>
      <c r="B13" s="14">
        <v>10</v>
      </c>
      <c r="C13" s="14">
        <v>168</v>
      </c>
      <c r="D13" s="2">
        <v>8.9285714285714288E-2</v>
      </c>
      <c r="E13" s="2">
        <v>7.7380952380952384E-2</v>
      </c>
      <c r="F13" s="2">
        <v>0.16666666666666666</v>
      </c>
      <c r="G13" s="2">
        <v>0.17261904761904762</v>
      </c>
      <c r="H13" s="2">
        <v>0.125</v>
      </c>
      <c r="I13" s="2">
        <v>7.7380952380952384E-2</v>
      </c>
      <c r="J13" s="2">
        <v>8.9285714285714288E-2</v>
      </c>
      <c r="K13" s="2">
        <v>0.16666666666666666</v>
      </c>
      <c r="L13" s="2">
        <v>0</v>
      </c>
      <c r="M13" s="2">
        <v>0</v>
      </c>
      <c r="N13" s="2">
        <v>0</v>
      </c>
      <c r="O13" s="2">
        <v>3.5714285714285712E-2</v>
      </c>
      <c r="P13" s="2">
        <v>0</v>
      </c>
      <c r="Q13" s="2">
        <v>0</v>
      </c>
      <c r="R13" s="8" t="s">
        <v>13</v>
      </c>
      <c r="S13" s="8" t="s">
        <v>1</v>
      </c>
      <c r="T13" s="27" t="s">
        <v>69</v>
      </c>
    </row>
    <row r="14" spans="1:20" x14ac:dyDescent="0.25">
      <c r="A14" s="7" t="s">
        <v>83</v>
      </c>
      <c r="B14" s="14">
        <v>10</v>
      </c>
      <c r="C14" s="14">
        <v>172</v>
      </c>
      <c r="D14" s="2">
        <v>0.10465116279069768</v>
      </c>
      <c r="E14" s="4">
        <v>0.13372093023255813</v>
      </c>
      <c r="F14" s="2">
        <v>0.10465116279069768</v>
      </c>
      <c r="G14" s="4">
        <v>0.11046511627906977</v>
      </c>
      <c r="H14" s="2">
        <v>0.19186046511627908</v>
      </c>
      <c r="I14" s="4">
        <v>8.7209302325581398E-2</v>
      </c>
      <c r="J14" s="4">
        <v>8.1395348837209308E-2</v>
      </c>
      <c r="K14" s="2">
        <v>6.9767441860465115E-2</v>
      </c>
      <c r="L14" s="4">
        <v>2.9069767441860465E-2</v>
      </c>
      <c r="M14" s="2">
        <v>4.0697674418604654E-2</v>
      </c>
      <c r="N14" s="4">
        <v>4.6511627906976744E-2</v>
      </c>
      <c r="O14" s="4">
        <v>0</v>
      </c>
      <c r="P14" s="4">
        <v>0</v>
      </c>
      <c r="Q14" s="2">
        <v>0</v>
      </c>
      <c r="R14" s="8" t="s">
        <v>84</v>
      </c>
      <c r="S14" s="8" t="s">
        <v>6</v>
      </c>
      <c r="T14" s="27" t="s">
        <v>72</v>
      </c>
    </row>
    <row r="15" spans="1:20" x14ac:dyDescent="0.25">
      <c r="A15" s="7" t="s">
        <v>12</v>
      </c>
      <c r="B15" s="14">
        <v>10</v>
      </c>
      <c r="C15" s="14">
        <v>172</v>
      </c>
      <c r="D15" s="2">
        <v>0.10465116279069768</v>
      </c>
      <c r="E15" s="2">
        <v>0.13953488372093023</v>
      </c>
      <c r="F15" s="2">
        <v>0.18604651162790697</v>
      </c>
      <c r="G15" s="2">
        <v>0.12209302325581395</v>
      </c>
      <c r="H15" s="2">
        <v>0.12209302325581395</v>
      </c>
      <c r="I15" s="2">
        <v>0.10465116279069768</v>
      </c>
      <c r="J15" s="2">
        <v>4.6511627906976744E-2</v>
      </c>
      <c r="K15" s="2">
        <v>6.9767441860465115E-2</v>
      </c>
      <c r="L15" s="2">
        <v>0</v>
      </c>
      <c r="M15" s="2">
        <v>0</v>
      </c>
      <c r="N15" s="2">
        <v>4.6511627906976744E-2</v>
      </c>
      <c r="O15" s="2">
        <v>5.8139534883720929E-2</v>
      </c>
      <c r="P15" s="2">
        <v>0</v>
      </c>
      <c r="Q15" s="2">
        <v>0</v>
      </c>
      <c r="R15" s="8" t="s">
        <v>11</v>
      </c>
      <c r="S15" s="8" t="s">
        <v>1</v>
      </c>
      <c r="T15" s="24" t="s">
        <v>69</v>
      </c>
    </row>
    <row r="16" spans="1:20" x14ac:dyDescent="0.25">
      <c r="A16" s="7" t="s">
        <v>8</v>
      </c>
      <c r="B16" s="14">
        <v>10</v>
      </c>
      <c r="C16" s="14">
        <v>174</v>
      </c>
      <c r="D16" s="12">
        <v>8.0459770114942528E-2</v>
      </c>
      <c r="E16" s="12">
        <v>0.12643678160919541</v>
      </c>
      <c r="F16" s="12">
        <v>0.13793103448275862</v>
      </c>
      <c r="G16" s="12">
        <v>8.6206896551724144E-2</v>
      </c>
      <c r="H16" s="12">
        <v>0.19540229885057472</v>
      </c>
      <c r="I16" s="12">
        <v>8.6206896551724144E-2</v>
      </c>
      <c r="J16" s="12">
        <v>0.16666666666666666</v>
      </c>
      <c r="K16" s="12">
        <v>6.8965517241379309E-2</v>
      </c>
      <c r="L16" s="12">
        <v>5.1724137931034482E-2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8" t="s">
        <v>7</v>
      </c>
      <c r="S16" s="8" t="s">
        <v>6</v>
      </c>
      <c r="T16" s="24" t="s">
        <v>69</v>
      </c>
    </row>
    <row r="17" spans="1:20" x14ac:dyDescent="0.25">
      <c r="A17" s="7" t="s">
        <v>85</v>
      </c>
      <c r="B17" s="14">
        <v>10</v>
      </c>
      <c r="C17" s="14">
        <v>175</v>
      </c>
      <c r="D17" s="2">
        <v>6.8571428571428575E-2</v>
      </c>
      <c r="E17" s="4">
        <v>0.12571428571428572</v>
      </c>
      <c r="F17" s="2">
        <v>0.18285714285714286</v>
      </c>
      <c r="G17" s="4">
        <v>0.10285714285714286</v>
      </c>
      <c r="H17" s="2">
        <v>0.2</v>
      </c>
      <c r="I17" s="4">
        <v>0.10285714285714286</v>
      </c>
      <c r="J17" s="4">
        <v>0.11428571428571428</v>
      </c>
      <c r="K17" s="2">
        <v>8.5714285714285715E-2</v>
      </c>
      <c r="L17" s="4">
        <v>0</v>
      </c>
      <c r="M17" s="2">
        <v>0</v>
      </c>
      <c r="N17" s="4">
        <v>0</v>
      </c>
      <c r="O17" s="4">
        <v>1.7142857142857144E-2</v>
      </c>
      <c r="P17" s="4">
        <v>0</v>
      </c>
      <c r="Q17" s="2">
        <v>0</v>
      </c>
      <c r="R17" s="8" t="s">
        <v>86</v>
      </c>
      <c r="S17" s="8" t="s">
        <v>1</v>
      </c>
      <c r="T17" s="27" t="s">
        <v>72</v>
      </c>
    </row>
    <row r="18" spans="1:20" x14ac:dyDescent="0.25">
      <c r="A18" s="7" t="s">
        <v>87</v>
      </c>
      <c r="B18" s="14">
        <v>10</v>
      </c>
      <c r="C18" s="14">
        <v>182</v>
      </c>
      <c r="D18" s="2">
        <v>7.6923076923076927E-2</v>
      </c>
      <c r="E18" s="4">
        <v>0.10989010989010989</v>
      </c>
      <c r="F18" s="2">
        <v>0.11538461538461539</v>
      </c>
      <c r="G18" s="4">
        <v>0.11538461538461539</v>
      </c>
      <c r="H18" s="2">
        <v>0.2032967032967033</v>
      </c>
      <c r="I18" s="4">
        <v>9.8901098901098897E-2</v>
      </c>
      <c r="J18" s="4">
        <v>0.1043956043956044</v>
      </c>
      <c r="K18" s="2">
        <v>3.2967032967032968E-2</v>
      </c>
      <c r="L18" s="4">
        <v>0</v>
      </c>
      <c r="M18" s="2">
        <v>8.7912087912087919E-2</v>
      </c>
      <c r="N18" s="4">
        <v>4.3956043956043959E-2</v>
      </c>
      <c r="O18" s="4">
        <v>1.098901098901099E-2</v>
      </c>
      <c r="P18" s="4">
        <v>0</v>
      </c>
      <c r="Q18" s="2">
        <v>0</v>
      </c>
      <c r="R18" s="8" t="s">
        <v>88</v>
      </c>
      <c r="S18" s="8" t="s">
        <v>15</v>
      </c>
      <c r="T18" s="27" t="s">
        <v>72</v>
      </c>
    </row>
    <row r="19" spans="1:20" x14ac:dyDescent="0.25">
      <c r="A19" s="7" t="s">
        <v>0</v>
      </c>
      <c r="B19" s="5">
        <f>+AVERAGE(B2:B18)</f>
        <v>9.6470588235294112</v>
      </c>
      <c r="C19" s="28">
        <f t="shared" ref="C19:Q19" si="0">+AVERAGE(C2:C18)</f>
        <v>161.8235294117647</v>
      </c>
      <c r="D19" s="6">
        <f t="shared" si="0"/>
        <v>8.9357319459305862E-2</v>
      </c>
      <c r="E19" s="6">
        <f t="shared" si="0"/>
        <v>0.10090872491646087</v>
      </c>
      <c r="F19" s="6">
        <f t="shared" si="0"/>
        <v>0.16652481051723983</v>
      </c>
      <c r="G19" s="6">
        <f t="shared" si="0"/>
        <v>0.1356439022563449</v>
      </c>
      <c r="H19" s="6">
        <f t="shared" si="0"/>
        <v>0.17095312020381093</v>
      </c>
      <c r="I19" s="6">
        <f t="shared" si="0"/>
        <v>7.6813013236669683E-2</v>
      </c>
      <c r="J19" s="6">
        <f t="shared" si="0"/>
        <v>9.5532083464739584E-2</v>
      </c>
      <c r="K19" s="6">
        <f t="shared" si="0"/>
        <v>8.61830182980029E-2</v>
      </c>
      <c r="L19" s="6">
        <f t="shared" si="0"/>
        <v>1.0068486808427372E-2</v>
      </c>
      <c r="M19" s="6">
        <f t="shared" si="0"/>
        <v>1.4881910492945604E-2</v>
      </c>
      <c r="N19" s="6">
        <f t="shared" si="0"/>
        <v>2.5393643732244609E-2</v>
      </c>
      <c r="O19" s="6">
        <f t="shared" si="0"/>
        <v>2.7739966025572601E-2</v>
      </c>
      <c r="P19" s="6">
        <f t="shared" si="0"/>
        <v>0</v>
      </c>
      <c r="Q19" s="6">
        <f t="shared" si="0"/>
        <v>0</v>
      </c>
      <c r="T19" s="1"/>
    </row>
    <row r="20" spans="1:20" x14ac:dyDescent="0.25">
      <c r="D20" s="29"/>
      <c r="E20" s="29"/>
      <c r="F20" s="29"/>
      <c r="G20" s="29"/>
      <c r="H20" s="29"/>
      <c r="I20" s="29"/>
      <c r="J20" s="29"/>
      <c r="K20" s="30"/>
      <c r="L20" s="30"/>
      <c r="M20" s="30"/>
      <c r="N20" s="30"/>
    </row>
    <row r="21" spans="1:20" x14ac:dyDescent="0.25">
      <c r="B21" s="3"/>
    </row>
    <row r="22" spans="1:20" x14ac:dyDescent="0.25">
      <c r="B22" s="2"/>
      <c r="J22" s="1"/>
      <c r="O22"/>
    </row>
    <row r="23" spans="1:20" x14ac:dyDescent="0.25">
      <c r="B23" s="4"/>
    </row>
    <row r="24" spans="1:20" x14ac:dyDescent="0.25">
      <c r="B24" s="2"/>
      <c r="J24" s="1"/>
      <c r="O24"/>
    </row>
    <row r="25" spans="1:20" x14ac:dyDescent="0.25">
      <c r="B25" s="4"/>
      <c r="C25" s="2"/>
      <c r="D25" s="29"/>
      <c r="E25" s="29"/>
      <c r="F25" s="29"/>
      <c r="G25" s="29"/>
      <c r="H25" s="29"/>
      <c r="I25" s="29"/>
      <c r="J25" s="29"/>
      <c r="K25" s="30"/>
      <c r="L25" s="30"/>
      <c r="M25" s="30"/>
      <c r="N25" s="30"/>
    </row>
    <row r="26" spans="1:20" x14ac:dyDescent="0.25">
      <c r="B26" s="2"/>
      <c r="J26" s="1"/>
      <c r="O26"/>
    </row>
    <row r="27" spans="1:20" x14ac:dyDescent="0.25">
      <c r="B27" s="4"/>
      <c r="C27" s="2"/>
      <c r="D27" s="29"/>
      <c r="E27" s="29"/>
      <c r="F27" s="29"/>
      <c r="G27" s="29"/>
      <c r="H27" s="29"/>
      <c r="I27" s="29"/>
      <c r="J27" s="29"/>
      <c r="K27" s="30"/>
      <c r="L27" s="30"/>
      <c r="M27" s="30"/>
      <c r="N27" s="30"/>
      <c r="O27" s="30"/>
    </row>
    <row r="28" spans="1:20" x14ac:dyDescent="0.25">
      <c r="B28" s="4"/>
      <c r="C28" s="2"/>
      <c r="D28" s="29"/>
      <c r="E28" s="29"/>
      <c r="F28" s="29"/>
      <c r="G28" s="29"/>
      <c r="H28" s="29"/>
      <c r="I28" s="29"/>
      <c r="J28" s="29"/>
      <c r="K28" s="30"/>
      <c r="L28" s="30"/>
      <c r="M28" s="30"/>
      <c r="N28" s="30"/>
      <c r="O28" s="30"/>
    </row>
    <row r="29" spans="1:20" x14ac:dyDescent="0.25">
      <c r="B29" s="2"/>
      <c r="J29" s="1"/>
      <c r="O29"/>
    </row>
    <row r="30" spans="1:20" x14ac:dyDescent="0.25">
      <c r="B30" s="4"/>
      <c r="C30" s="2"/>
      <c r="D30" s="29"/>
      <c r="E30" s="29"/>
      <c r="F30" s="29"/>
      <c r="G30" s="29"/>
      <c r="H30" s="29"/>
      <c r="I30" s="29"/>
      <c r="J30" s="29"/>
      <c r="K30" s="30"/>
      <c r="L30" s="30"/>
      <c r="M30" s="30"/>
      <c r="N30" s="30"/>
    </row>
    <row r="31" spans="1:20" x14ac:dyDescent="0.25">
      <c r="B31" s="2"/>
      <c r="J31" s="1"/>
      <c r="O31"/>
    </row>
    <row r="32" spans="1:20" x14ac:dyDescent="0.25">
      <c r="B32" s="4"/>
      <c r="C32" s="2"/>
      <c r="D32" s="29"/>
      <c r="E32" s="29"/>
      <c r="F32" s="29"/>
      <c r="G32" s="29"/>
      <c r="H32" s="29"/>
      <c r="I32" s="29"/>
      <c r="J32" s="29"/>
      <c r="K32" s="30"/>
      <c r="L32" s="30"/>
      <c r="M32" s="30"/>
      <c r="N32" s="30"/>
      <c r="O32" s="30"/>
    </row>
    <row r="33" spans="2:14" x14ac:dyDescent="0.25">
      <c r="B33" s="4"/>
      <c r="C33" s="2"/>
      <c r="D33" s="29"/>
      <c r="E33" s="29"/>
      <c r="F33" s="29"/>
      <c r="G33" s="29"/>
      <c r="H33" s="29"/>
      <c r="I33" s="29"/>
      <c r="J33" s="29"/>
      <c r="K33" s="30"/>
      <c r="L33" s="30"/>
      <c r="M33" s="30"/>
      <c r="N33" s="30"/>
    </row>
    <row r="34" spans="2:14" x14ac:dyDescent="0.25">
      <c r="B34" s="4"/>
      <c r="C34" s="2"/>
      <c r="D34" s="29"/>
      <c r="E34" s="29"/>
      <c r="F34" s="29"/>
      <c r="G34" s="29"/>
      <c r="H34" s="29"/>
      <c r="I34" s="29"/>
      <c r="J34" s="29"/>
      <c r="K34" s="30"/>
      <c r="L34" s="30"/>
      <c r="M34" s="30"/>
      <c r="N34" s="30"/>
    </row>
  </sheetData>
  <autoFilter ref="A1:T19" xr:uid="{7C609BA7-4529-4D15-A043-338830F98C7C}"/>
  <conditionalFormatting sqref="B16">
    <cfRule type="colorScale" priority="13">
      <colorScale>
        <cfvo type="num" val="$B$2"/>
        <cfvo type="percentile" val="50"/>
        <cfvo type="num" val="#REF!"/>
        <color theme="7" tint="0.79998168889431442"/>
        <color theme="7" tint="0.39997558519241921"/>
        <color rgb="FF00B0F0"/>
      </colorScale>
    </cfRule>
  </conditionalFormatting>
  <conditionalFormatting sqref="B16:Q16">
    <cfRule type="colorScale" priority="12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T12 T10 T2 T7 T15:T16 B17:C18 B2:C15">
    <cfRule type="colorScale" priority="14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EC8B-859B-44EC-BAA5-B1DDE22409EB}">
  <dimension ref="A1:U22"/>
  <sheetViews>
    <sheetView tabSelected="1" zoomScale="59" workbookViewId="0">
      <pane xSplit="1" topLeftCell="B1" activePane="topRight" state="frozen"/>
      <selection activeCell="A2" sqref="A2:D56"/>
      <selection pane="topRight" activeCell="G17" sqref="G17"/>
    </sheetView>
  </sheetViews>
  <sheetFormatPr baseColWidth="10" defaultRowHeight="15" x14ac:dyDescent="0.25"/>
  <cols>
    <col min="1" max="1" width="53.5703125" bestFit="1" customWidth="1"/>
    <col min="2" max="2" width="10.7109375" bestFit="1" customWidth="1"/>
    <col min="3" max="3" width="15.85546875" bestFit="1" customWidth="1"/>
    <col min="4" max="4" width="18.5703125" bestFit="1" customWidth="1"/>
    <col min="5" max="5" width="23.5703125" bestFit="1" customWidth="1"/>
    <col min="6" max="6" width="14.85546875" bestFit="1" customWidth="1"/>
    <col min="7" max="7" width="47.42578125" bestFit="1" customWidth="1"/>
    <col min="8" max="8" width="18.42578125" bestFit="1" customWidth="1"/>
    <col min="9" max="9" width="14.7109375" bestFit="1" customWidth="1"/>
    <col min="10" max="10" width="21.7109375" bestFit="1" customWidth="1"/>
    <col min="11" max="11" width="22.28515625" bestFit="1" customWidth="1"/>
    <col min="12" max="12" width="13" bestFit="1" customWidth="1"/>
    <col min="13" max="13" width="14.7109375" bestFit="1" customWidth="1"/>
    <col min="14" max="14" width="6.42578125" bestFit="1" customWidth="1"/>
    <col min="15" max="15" width="15.7109375" bestFit="1" customWidth="1"/>
    <col min="16" max="16" width="21.5703125" bestFit="1" customWidth="1"/>
    <col min="17" max="17" width="18.85546875" bestFit="1" customWidth="1"/>
    <col min="18" max="18" width="7.42578125" bestFit="1" customWidth="1"/>
    <col min="19" max="19" width="11.28515625" bestFit="1" customWidth="1"/>
    <col min="20" max="20" width="25.85546875" bestFit="1" customWidth="1"/>
  </cols>
  <sheetData>
    <row r="1" spans="1:20" x14ac:dyDescent="0.25">
      <c r="A1" s="32" t="s">
        <v>66</v>
      </c>
      <c r="B1" s="16" t="s">
        <v>65</v>
      </c>
      <c r="C1" s="16" t="s">
        <v>64</v>
      </c>
      <c r="D1" s="16" t="s">
        <v>63</v>
      </c>
      <c r="E1" s="16" t="s">
        <v>62</v>
      </c>
      <c r="F1" s="16" t="s">
        <v>61</v>
      </c>
      <c r="G1" s="16" t="s">
        <v>60</v>
      </c>
      <c r="H1" s="16" t="s">
        <v>59</v>
      </c>
      <c r="I1" s="16" t="s">
        <v>58</v>
      </c>
      <c r="J1" s="16" t="s">
        <v>57</v>
      </c>
      <c r="K1" s="16" t="s">
        <v>56</v>
      </c>
      <c r="L1" s="16" t="s">
        <v>55</v>
      </c>
      <c r="M1" s="16" t="s">
        <v>54</v>
      </c>
      <c r="N1" s="16" t="s">
        <v>53</v>
      </c>
      <c r="O1" s="16" t="s">
        <v>52</v>
      </c>
      <c r="P1" s="16" t="s">
        <v>51</v>
      </c>
      <c r="Q1" s="16" t="s">
        <v>50</v>
      </c>
      <c r="R1" s="16" t="s">
        <v>49</v>
      </c>
      <c r="S1" s="16" t="s">
        <v>48</v>
      </c>
      <c r="T1" s="33" t="s">
        <v>89</v>
      </c>
    </row>
    <row r="2" spans="1:20" x14ac:dyDescent="0.25">
      <c r="A2" s="8" t="s">
        <v>3</v>
      </c>
      <c r="B2" s="8">
        <v>9</v>
      </c>
      <c r="C2" s="8">
        <v>160</v>
      </c>
      <c r="D2" s="34">
        <v>3.7499999999999999E-2</v>
      </c>
      <c r="E2" s="34">
        <v>0.1</v>
      </c>
      <c r="F2" s="34">
        <v>0.21249999999999999</v>
      </c>
      <c r="G2" s="34">
        <v>0.1125</v>
      </c>
      <c r="H2" s="34">
        <v>0.1875</v>
      </c>
      <c r="I2" s="34">
        <v>0.1125</v>
      </c>
      <c r="J2" s="34">
        <v>0.14000000000000001</v>
      </c>
      <c r="K2" s="34">
        <v>0.1</v>
      </c>
      <c r="L2" s="34">
        <v>1.2500000000000001E-2</v>
      </c>
      <c r="M2" s="35">
        <v>0</v>
      </c>
      <c r="N2" s="35">
        <v>0</v>
      </c>
      <c r="O2" s="34">
        <v>8.1299999999999997E-2</v>
      </c>
      <c r="P2" s="35">
        <v>0</v>
      </c>
      <c r="Q2" s="35">
        <v>0</v>
      </c>
      <c r="R2" s="8" t="s">
        <v>2</v>
      </c>
      <c r="S2" s="36" t="s">
        <v>90</v>
      </c>
      <c r="T2" t="s">
        <v>91</v>
      </c>
    </row>
    <row r="3" spans="1:20" x14ac:dyDescent="0.25">
      <c r="A3" s="8" t="s">
        <v>92</v>
      </c>
      <c r="B3" s="8">
        <v>10</v>
      </c>
      <c r="C3" s="8">
        <v>172</v>
      </c>
      <c r="D3" s="34">
        <v>0.13370000000000001</v>
      </c>
      <c r="E3" s="34">
        <v>6.9800000000000001E-2</v>
      </c>
      <c r="F3" s="34">
        <v>0.19769999999999999</v>
      </c>
      <c r="G3" s="34">
        <v>0.13370000000000001</v>
      </c>
      <c r="H3" s="34">
        <v>0.27329999999999999</v>
      </c>
      <c r="I3" s="34">
        <v>0.1047</v>
      </c>
      <c r="J3" s="34">
        <v>7.5600000000000001E-2</v>
      </c>
      <c r="K3" s="34">
        <v>2.3300000000000001E-2</v>
      </c>
      <c r="L3" s="34">
        <v>4.65E-2</v>
      </c>
      <c r="M3" s="35">
        <v>0</v>
      </c>
      <c r="N3" s="35">
        <v>0</v>
      </c>
      <c r="O3" s="34">
        <v>3.49E-2</v>
      </c>
      <c r="P3" s="35">
        <v>0</v>
      </c>
      <c r="Q3" s="35">
        <v>0</v>
      </c>
      <c r="R3" s="8" t="s">
        <v>2</v>
      </c>
      <c r="S3" s="36" t="s">
        <v>90</v>
      </c>
      <c r="T3" t="s">
        <v>93</v>
      </c>
    </row>
    <row r="4" spans="1:20" x14ac:dyDescent="0.25">
      <c r="A4" s="8" t="s">
        <v>94</v>
      </c>
      <c r="B4" s="8">
        <v>10</v>
      </c>
      <c r="C4" s="8">
        <v>162</v>
      </c>
      <c r="D4" s="34">
        <v>0.10489999999999999</v>
      </c>
      <c r="E4" s="34">
        <v>7.4099999999999999E-2</v>
      </c>
      <c r="F4" s="34">
        <v>0.17899999999999999</v>
      </c>
      <c r="G4" s="34">
        <v>5.5599999999999997E-2</v>
      </c>
      <c r="H4" s="34">
        <v>0.15429999999999999</v>
      </c>
      <c r="I4" s="34">
        <v>3.6999999999999998E-2</v>
      </c>
      <c r="J4" s="34">
        <v>0.1235</v>
      </c>
      <c r="K4" s="34">
        <v>9.2600000000000002E-2</v>
      </c>
      <c r="L4" s="35">
        <v>0</v>
      </c>
      <c r="M4" s="34">
        <v>3.6999999999999998E-2</v>
      </c>
      <c r="N4" s="34">
        <v>5.5599999999999997E-2</v>
      </c>
      <c r="O4" s="34">
        <v>1.8499999999999999E-2</v>
      </c>
      <c r="P4" s="35">
        <v>0</v>
      </c>
      <c r="Q4" s="35">
        <v>0</v>
      </c>
      <c r="R4" s="8" t="s">
        <v>2</v>
      </c>
      <c r="S4" s="36" t="s">
        <v>90</v>
      </c>
      <c r="T4" t="s">
        <v>93</v>
      </c>
    </row>
    <row r="5" spans="1:20" x14ac:dyDescent="0.25">
      <c r="A5" s="27" t="s">
        <v>95</v>
      </c>
      <c r="B5" s="8">
        <v>10</v>
      </c>
      <c r="C5" s="8">
        <v>170</v>
      </c>
      <c r="D5" s="34">
        <v>0.1235</v>
      </c>
      <c r="E5" s="34">
        <v>6.4699999999999994E-2</v>
      </c>
      <c r="F5" s="34">
        <v>0.14119999999999999</v>
      </c>
      <c r="G5" s="34">
        <v>8.2400000000000001E-2</v>
      </c>
      <c r="H5" s="34">
        <v>0.25290000000000001</v>
      </c>
      <c r="I5" s="34">
        <v>6.4699999999999994E-2</v>
      </c>
      <c r="J5" s="34">
        <v>7.0599999999999996E-2</v>
      </c>
      <c r="K5" s="34">
        <v>0.12939999999999999</v>
      </c>
      <c r="L5" s="35">
        <v>0</v>
      </c>
      <c r="M5" s="35">
        <v>0</v>
      </c>
      <c r="N5" s="34">
        <v>7.0599999999999996E-2</v>
      </c>
      <c r="O5" s="35">
        <v>0</v>
      </c>
      <c r="P5" s="35">
        <v>0</v>
      </c>
      <c r="Q5" s="35">
        <v>0</v>
      </c>
      <c r="R5" s="8" t="s">
        <v>2</v>
      </c>
      <c r="S5" s="36" t="s">
        <v>90</v>
      </c>
      <c r="T5" t="s">
        <v>93</v>
      </c>
    </row>
    <row r="6" spans="1:20" x14ac:dyDescent="0.25">
      <c r="A6" s="27" t="s">
        <v>96</v>
      </c>
      <c r="B6" s="8">
        <v>10</v>
      </c>
      <c r="C6" s="8">
        <v>160</v>
      </c>
      <c r="D6" s="34">
        <v>9.3799999999999994E-2</v>
      </c>
      <c r="E6" s="34">
        <v>0.1</v>
      </c>
      <c r="F6" s="34">
        <v>0.13750000000000001</v>
      </c>
      <c r="G6" s="34">
        <v>0.1188</v>
      </c>
      <c r="H6" s="34">
        <v>0.1875</v>
      </c>
      <c r="I6" s="34">
        <v>8.7499999999999994E-2</v>
      </c>
      <c r="J6" s="34">
        <v>7.4999999999999997E-2</v>
      </c>
      <c r="K6" s="34">
        <v>3.7499999999999999E-2</v>
      </c>
      <c r="L6" s="35">
        <v>1.2500000000000001E-2</v>
      </c>
      <c r="M6" s="35">
        <v>0</v>
      </c>
      <c r="N6" s="34">
        <v>7.4999999999999997E-2</v>
      </c>
      <c r="O6" s="35">
        <v>3.7499999999999999E-2</v>
      </c>
      <c r="P6" s="35">
        <v>0</v>
      </c>
      <c r="Q6" s="35">
        <v>0</v>
      </c>
      <c r="R6" s="8" t="s">
        <v>2</v>
      </c>
      <c r="S6" s="36" t="s">
        <v>90</v>
      </c>
      <c r="T6" t="s">
        <v>93</v>
      </c>
    </row>
    <row r="7" spans="1:20" x14ac:dyDescent="0.25">
      <c r="A7" s="27" t="s">
        <v>97</v>
      </c>
      <c r="B7" s="8">
        <v>10</v>
      </c>
      <c r="C7" s="8">
        <v>159</v>
      </c>
      <c r="D7" s="34">
        <v>0.1321</v>
      </c>
      <c r="E7" s="34">
        <v>7.5499999999999998E-2</v>
      </c>
      <c r="F7" s="34">
        <v>0.22639999999999999</v>
      </c>
      <c r="G7" s="34">
        <v>0.1384</v>
      </c>
      <c r="H7" s="34">
        <v>0.16980000000000001</v>
      </c>
      <c r="I7" s="34">
        <v>0.1132</v>
      </c>
      <c r="J7" s="34">
        <v>5.0299999999999997E-2</v>
      </c>
      <c r="K7" s="34">
        <v>5.0299999999999997E-2</v>
      </c>
      <c r="L7" s="34">
        <v>2.52E-2</v>
      </c>
      <c r="M7" s="35">
        <v>0</v>
      </c>
      <c r="N7" s="35">
        <v>0</v>
      </c>
      <c r="O7" s="34">
        <v>1.89E-2</v>
      </c>
      <c r="P7" s="35">
        <v>0</v>
      </c>
      <c r="Q7" s="35">
        <v>0</v>
      </c>
      <c r="R7" s="8" t="s">
        <v>2</v>
      </c>
      <c r="S7" s="36" t="s">
        <v>90</v>
      </c>
      <c r="T7" t="s">
        <v>93</v>
      </c>
    </row>
    <row r="8" spans="1:20" x14ac:dyDescent="0.25">
      <c r="A8" s="37" t="s">
        <v>98</v>
      </c>
      <c r="B8" s="31">
        <v>10</v>
      </c>
      <c r="C8" s="38">
        <v>175</v>
      </c>
      <c r="D8" s="39">
        <v>0.11428571428571428</v>
      </c>
      <c r="E8" s="39">
        <v>9.7142857142857142E-2</v>
      </c>
      <c r="F8" s="39">
        <v>0.22857142857142856</v>
      </c>
      <c r="G8" s="39">
        <v>0.14285714285714285</v>
      </c>
      <c r="H8" s="39">
        <v>0.12</v>
      </c>
      <c r="I8" s="39">
        <v>0.10285714285714286</v>
      </c>
      <c r="J8" s="39">
        <v>0.11428571428571428</v>
      </c>
      <c r="K8" s="39">
        <v>5.1428571428571428E-2</v>
      </c>
      <c r="L8" s="39">
        <v>0</v>
      </c>
      <c r="M8" s="39">
        <v>0</v>
      </c>
      <c r="N8" s="39">
        <v>0</v>
      </c>
      <c r="O8" s="39">
        <v>2.8571428571428571E-2</v>
      </c>
      <c r="P8" s="39">
        <v>0</v>
      </c>
      <c r="Q8" s="39">
        <v>0</v>
      </c>
      <c r="R8" s="40" t="s">
        <v>2</v>
      </c>
      <c r="S8" s="40" t="s">
        <v>90</v>
      </c>
      <c r="T8" t="s">
        <v>91</v>
      </c>
    </row>
    <row r="10" spans="1:20" x14ac:dyDescent="0.25">
      <c r="A10" s="14" t="s">
        <v>99</v>
      </c>
      <c r="B10" s="14" t="s">
        <v>100</v>
      </c>
      <c r="C10" s="41" t="s">
        <v>65</v>
      </c>
      <c r="D10" s="42" t="s">
        <v>101</v>
      </c>
    </row>
    <row r="11" spans="1:20" x14ac:dyDescent="0.25">
      <c r="A11" s="8" t="s">
        <v>3</v>
      </c>
      <c r="B11" s="8">
        <v>160</v>
      </c>
      <c r="C11" s="43">
        <v>9</v>
      </c>
      <c r="D11" s="44">
        <v>6641000</v>
      </c>
    </row>
    <row r="12" spans="1:20" x14ac:dyDescent="0.25">
      <c r="A12" s="8" t="s">
        <v>92</v>
      </c>
      <c r="B12" s="27">
        <v>172</v>
      </c>
      <c r="C12" s="43">
        <v>10</v>
      </c>
      <c r="D12" s="45">
        <v>2654000</v>
      </c>
      <c r="E12" s="29"/>
      <c r="F12" s="29"/>
      <c r="G12" s="29"/>
      <c r="H12" s="29"/>
      <c r="I12" s="29"/>
      <c r="J12" s="29"/>
      <c r="K12" s="29"/>
      <c r="L12" s="29"/>
      <c r="M12" s="29"/>
      <c r="N12" s="46"/>
      <c r="O12" s="46"/>
      <c r="P12" s="29"/>
      <c r="Q12" s="46"/>
      <c r="R12" s="46"/>
    </row>
    <row r="13" spans="1:20" x14ac:dyDescent="0.25">
      <c r="A13" s="8" t="s">
        <v>94</v>
      </c>
      <c r="B13" s="8">
        <v>162</v>
      </c>
      <c r="C13" s="47">
        <v>10</v>
      </c>
      <c r="D13" s="44">
        <v>5082700</v>
      </c>
      <c r="F13" s="29"/>
      <c r="G13" s="29"/>
      <c r="H13" s="29"/>
      <c r="I13" s="29"/>
      <c r="J13" s="29"/>
      <c r="K13" s="29"/>
      <c r="L13" s="29"/>
      <c r="M13" s="29"/>
      <c r="N13" s="46"/>
      <c r="O13" s="46"/>
      <c r="P13" s="29"/>
      <c r="R13" s="46"/>
      <c r="S13" s="46"/>
    </row>
    <row r="14" spans="1:20" x14ac:dyDescent="0.25">
      <c r="A14" s="48" t="s">
        <v>102</v>
      </c>
      <c r="D14" s="49"/>
    </row>
    <row r="15" spans="1:20" x14ac:dyDescent="0.25">
      <c r="A15" s="27" t="s">
        <v>95</v>
      </c>
      <c r="B15" s="27">
        <v>170</v>
      </c>
      <c r="C15" s="27">
        <v>10</v>
      </c>
      <c r="D15" s="44">
        <v>2880000</v>
      </c>
      <c r="E15" s="29"/>
      <c r="F15" s="29"/>
      <c r="G15" s="29"/>
      <c r="H15" s="29"/>
      <c r="I15" s="29"/>
      <c r="J15" s="29"/>
      <c r="K15" s="29"/>
      <c r="L15" s="29"/>
      <c r="M15" s="46"/>
      <c r="N15" s="29"/>
      <c r="O15" s="29"/>
      <c r="P15" s="29"/>
      <c r="Q15" s="46"/>
      <c r="R15" s="46"/>
    </row>
    <row r="16" spans="1:20" x14ac:dyDescent="0.25">
      <c r="A16" s="27" t="s">
        <v>96</v>
      </c>
      <c r="B16" s="27">
        <v>160</v>
      </c>
      <c r="C16" s="27">
        <v>10</v>
      </c>
      <c r="D16" s="50">
        <v>2640000</v>
      </c>
    </row>
    <row r="17" spans="1:21" x14ac:dyDescent="0.25">
      <c r="A17" s="27" t="s">
        <v>97</v>
      </c>
      <c r="B17" s="27">
        <v>159</v>
      </c>
      <c r="C17" s="27">
        <v>10</v>
      </c>
      <c r="D17" s="44">
        <v>4846000</v>
      </c>
      <c r="J17" s="29"/>
      <c r="K17" s="29"/>
      <c r="L17" s="29"/>
      <c r="M17" s="29"/>
      <c r="N17" s="29"/>
      <c r="O17" s="29"/>
      <c r="P17" s="29"/>
      <c r="Q17" s="29"/>
      <c r="R17" s="29"/>
      <c r="S17" s="46"/>
      <c r="T17" s="46"/>
      <c r="U17" s="46"/>
    </row>
    <row r="22" spans="1:21" x14ac:dyDescent="0.25">
      <c r="C22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Acreditadas</vt:lpstr>
      <vt:lpstr>Total Universidades</vt:lpstr>
      <vt:lpstr>Publicas</vt:lpstr>
      <vt:lpstr>Pereira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Llano</dc:creator>
  <cp:lastModifiedBy>Sebastián Llano</cp:lastModifiedBy>
  <dcterms:created xsi:type="dcterms:W3CDTF">2026-04-14T01:23:40Z</dcterms:created>
  <dcterms:modified xsi:type="dcterms:W3CDTF">2026-04-15T01:38:01Z</dcterms:modified>
</cp:coreProperties>
</file>